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wapDesk — Assumptions · Commer" sheetId="1" r:id="rId1"/>
    <sheet name="SwapDesk — Assumptions · Mercha" sheetId="2" r:id="rId2"/>
    <sheet name="SwapDesk — Assumptions · Placeh" sheetId="3" r:id="rId3"/>
    <sheet name="SwapDesk — Assumptions · Simula" sheetId="4" r:id="rId4"/>
    <sheet name="SwapDesk — Operations · Merchan" sheetId="5" r:id="rId5"/>
    <sheet name="SwapDesk — Operations · Unit ec" sheetId="6" r:id="rId6"/>
    <sheet name="SwapDesk — Financials · Founder" sheetId="7" r:id="rId7"/>
    <sheet name="SwapDesk — Financials · Profit" sheetId="8" r:id="rId8"/>
    <sheet name="SwapDesk — Business Plan · Quar" sheetId="9" r:id="rId9"/>
    <sheet name="Model inputs" sheetId="10" r:id="rId10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&quot;$&quot;#,##0.00;(&quot;$&quot;#,##0.00)"/>
    <numFmt numFmtId="165" formatCode="#,##0.###;(#,##0.###)"/>
    <numFmt numFmtId="166" formatCode="0.0%"/>
    <numFmt numFmtId="167" formatCode="yyyy-mm-dd"/>
    <numFmt numFmtId="168" formatCode="&quot;$&quot;#,##0;(&quot;$&quot;#,##0)"/>
    <numFmt numFmtId="169" formatCode="0%"/>
    <numFmt numFmtId="170" formatCode="#,##0.00;(#,##0.00)"/>
    <numFmt numFmtId="171" formatCode="#,##0.0;(#,##0.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SwapDesk — Assumptions · Commercial and cost controls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Subscription price</t>
        </is>
      </c>
      <c r="B5" s="6">
        <f>49</f>
        <v>49</v>
      </c>
    </row>
    <row r="6">
      <c r="A6" t="inlineStr" s="7">
        <is>
          <t xml:space="preserve">Included resolutions</t>
        </is>
      </c>
      <c r="B6" s="8">
        <f>100</f>
        <v>100</v>
      </c>
    </row>
    <row r="7">
      <c r="A7" t="inlineStr" s="7">
        <is>
          <t xml:space="preserve">Overage price</t>
        </is>
      </c>
      <c r="B7" s="9">
        <f>0.5</f>
        <v>0.5</v>
      </c>
    </row>
    <row r="8">
      <c r="A8" t="inlineStr" s="7">
        <is>
          <t xml:space="preserve">Cost per execution</t>
        </is>
      </c>
      <c r="B8" s="9">
        <f>0.03</f>
        <v>0.03</v>
      </c>
    </row>
    <row r="9">
      <c r="A9" t="inlineStr" s="7">
        <is>
          <t xml:space="preserve">Technical support hourly cost</t>
        </is>
      </c>
      <c r="B9" s="9">
        <f>25</f>
        <v>25</v>
      </c>
    </row>
    <row r="10">
      <c r="A10" t="inlineStr" s="7">
        <is>
          <t xml:space="preserve">Onboarding minutes</t>
        </is>
      </c>
      <c r="B10" s="8">
        <f>90</f>
        <v>90</v>
      </c>
    </row>
    <row r="11">
      <c r="A11" t="inlineStr" s="7">
        <is>
          <t xml:space="preserve">Customer acquisition cost</t>
        </is>
      </c>
      <c r="B11" s="9">
        <f>100</f>
        <v>100</v>
      </c>
    </row>
    <row r="12">
      <c r="A12" t="inlineStr" s="7">
        <is>
          <t xml:space="preserve">Fixed infrastructure cost</t>
        </is>
      </c>
      <c r="B12" s="9">
        <f>75</f>
        <v>75</v>
      </c>
    </row>
    <row r="13">
      <c r="A13" t="inlineStr" s="7">
        <is>
          <t xml:space="preserve">Infrastructure cost per store</t>
        </is>
      </c>
      <c r="B13" s="9">
        <f>1</f>
        <v>1</v>
      </c>
    </row>
    <row r="14">
      <c r="A14" t="inlineStr" s="7">
        <is>
          <t xml:space="preserve">Other monthly overhead</t>
        </is>
      </c>
      <c r="B14" s="9">
        <f>150</f>
        <v>150</v>
      </c>
    </row>
    <row r="15">
      <c r="A15" t="inlineStr" s="7">
        <is>
          <t xml:space="preserve">Opening cash assumption</t>
        </is>
      </c>
      <c r="B15" s="9">
        <f>15000</f>
        <v>15000</v>
      </c>
    </row>
    <row r="16">
      <c r="A16" t="inlineStr" s="5">
        <is>
          <t xml:space="preserve">Founder annual pay</t>
        </is>
      </c>
      <c r="B16" s="6">
        <f>24000</f>
        <v>24000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G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SwapDesk — Assumptions · Merchant segment assumptions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New stores per month</t>
        </is>
      </c>
      <c r="C4" t="inlineStr" s="4">
        <is>
          <t xml:space="preserve">Monthly store churn</t>
        </is>
      </c>
      <c r="D4" t="inlineStr" s="4">
        <is>
          <t xml:space="preserve">Cases per store</t>
        </is>
      </c>
      <c r="E4" t="inlineStr" s="4">
        <is>
          <t xml:space="preserve">Verified resolution rate</t>
        </is>
      </c>
      <c r="F4" t="inlineStr" s="4">
        <is>
          <t xml:space="preserve">Extra execution factor</t>
        </is>
      </c>
      <c r="G4" t="inlineStr" s="4">
        <is>
          <t xml:space="preserve">Support minutes per store</t>
        </is>
      </c>
    </row>
    <row r="5">
      <c r="A5" t="inlineStr" s="5">
        <is>
          <t xml:space="preserve">Growing shop</t>
        </is>
      </c>
      <c r="B5" s="10">
        <f>0.5</f>
        <v>0.5</v>
      </c>
      <c r="C5" s="11">
        <f>0.02</f>
        <v>0.02</v>
      </c>
      <c r="D5" s="10">
        <f>400</f>
        <v>400</v>
      </c>
      <c r="E5" s="11">
        <f>0.65</f>
        <v>0.65</v>
      </c>
      <c r="F5" s="11">
        <f>0.15</f>
        <v>0.15</v>
      </c>
      <c r="G5" s="10">
        <f>30</f>
        <v>30</v>
      </c>
    </row>
    <row r="6">
      <c r="A6" t="inlineStr" s="5">
        <is>
          <t xml:space="preserve">Small shop</t>
        </is>
      </c>
      <c r="B6" s="10">
        <f>1</f>
        <v>1</v>
      </c>
      <c r="C6" s="11">
        <f>0.03</f>
        <v>0.03</v>
      </c>
      <c r="D6" s="10">
        <f>120</f>
        <v>120</v>
      </c>
      <c r="E6" s="11">
        <f>0.65</f>
        <v>0.65</v>
      </c>
      <c r="F6" s="11">
        <f>0.15</f>
        <v>0.15</v>
      </c>
      <c r="G6" s="10">
        <f>15</f>
        <v>15</v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>
  <dimension ref="A1:C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SwapDesk — Assumptions · Placeholder founder compensation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Founder start date</t>
        </is>
      </c>
      <c r="C4" t="inlineStr" s="4">
        <is>
          <t xml:space="preserve">Planned annual compensation</t>
        </is>
      </c>
    </row>
    <row r="5">
      <c r="A5" t="inlineStr" s="5">
        <is>
          <t xml:space="preserve">Placeholder founder 1</t>
        </is>
      </c>
      <c r="B5" s="12">
        <f>DATE(2027,1,1)</f>
        <v>46388</v>
      </c>
      <c r="C5" s="13">
        <f>IF('SwapDesk — Assumptions · Commer'!B16="","",'SwapDesk — Assumptions · Commer'!B16)</f>
        <v>24000</v>
      </c>
    </row>
  </sheetData>
  <mergeCells count="1">
    <mergeCell ref="A1:C1"/>
  </mergeCells>
</worksheet>
</file>

<file path=xl/worksheets/sheet4.xml><?xml version="1.0" encoding="utf-8"?>
<worksheet xmlns="http://schemas.openxmlformats.org/spreadsheetml/2006/main">
  <dimension ref="A1:B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SwapDesk — Assumptions · Simulator baseline rates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Simulator resolution rate</t>
        </is>
      </c>
      <c r="B5" s="14">
        <f>IF('SwapDesk — Assumptions · Mercha'!E6="","",'SwapDesk — Assumptions · Mercha'!E6)</f>
        <v>0.65</v>
      </c>
    </row>
    <row r="6">
      <c r="A6" t="inlineStr" s="5">
        <is>
          <t xml:space="preserve">Simulator extra execution factor</t>
        </is>
      </c>
      <c r="B6" s="14">
        <f>IF('SwapDesk — Assumptions · Mercha'!F6="","",'SwapDesk — Assumptions · Mercha'!F6)</f>
        <v>0.15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Z5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SwapDesk — Operations · Merchant and execution forecast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2026-09</t>
        </is>
      </c>
      <c r="C4" t="inlineStr" s="15">
        <is>
          <t xml:space="preserve">2026-10</t>
        </is>
      </c>
      <c r="D4" t="inlineStr" s="4">
        <is>
          <t xml:space="preserve">2026-11</t>
        </is>
      </c>
      <c r="E4" t="inlineStr" s="4">
        <is>
          <t xml:space="preserve">2026-12</t>
        </is>
      </c>
      <c r="F4" t="inlineStr" s="15">
        <is>
          <t xml:space="preserve">2027-01</t>
        </is>
      </c>
      <c r="G4" t="inlineStr" s="4">
        <is>
          <t xml:space="preserve">2027-02</t>
        </is>
      </c>
      <c r="H4" t="inlineStr" s="4">
        <is>
          <t xml:space="preserve">2027-03</t>
        </is>
      </c>
      <c r="I4" t="inlineStr" s="15">
        <is>
          <t xml:space="preserve">2027-04</t>
        </is>
      </c>
      <c r="J4" t="inlineStr" s="4">
        <is>
          <t xml:space="preserve">2027-05</t>
        </is>
      </c>
      <c r="K4" t="inlineStr" s="4">
        <is>
          <t xml:space="preserve">2027-06</t>
        </is>
      </c>
      <c r="L4" t="inlineStr" s="15">
        <is>
          <t xml:space="preserve">2027-07</t>
        </is>
      </c>
      <c r="M4" t="inlineStr" s="4">
        <is>
          <t xml:space="preserve">2027-08</t>
        </is>
      </c>
      <c r="N4" t="inlineStr" s="4">
        <is>
          <t xml:space="preserve">2027-09</t>
        </is>
      </c>
      <c r="O4" t="inlineStr" s="15">
        <is>
          <t xml:space="preserve">2027-10</t>
        </is>
      </c>
      <c r="P4" t="inlineStr" s="4">
        <is>
          <t xml:space="preserve">2027-11</t>
        </is>
      </c>
      <c r="Q4" t="inlineStr" s="4">
        <is>
          <t xml:space="preserve">2027-12</t>
        </is>
      </c>
      <c r="R4" t="inlineStr" s="15">
        <is>
          <t xml:space="preserve">2028-01</t>
        </is>
      </c>
      <c r="S4" t="inlineStr" s="4">
        <is>
          <t xml:space="preserve">2028-02</t>
        </is>
      </c>
      <c r="T4" t="inlineStr" s="4">
        <is>
          <t xml:space="preserve">2028-03</t>
        </is>
      </c>
      <c r="U4" t="inlineStr" s="15">
        <is>
          <t xml:space="preserve">2028-04</t>
        </is>
      </c>
      <c r="V4" t="inlineStr" s="4">
        <is>
          <t xml:space="preserve">2028-05</t>
        </is>
      </c>
      <c r="W4" t="inlineStr" s="4">
        <is>
          <t xml:space="preserve">2028-06</t>
        </is>
      </c>
      <c r="X4" t="inlineStr" s="15">
        <is>
          <t xml:space="preserve">2028-07</t>
        </is>
      </c>
      <c r="Y4" t="inlineStr" s="4">
        <is>
          <t xml:space="preserve">2028-08</t>
        </is>
      </c>
      <c r="Z4" t="inlineStr" s="4">
        <is>
          <t xml:space="preserve">2028-09</t>
        </is>
      </c>
    </row>
    <row r="5">
      <c r="A5" t="inlineStr" s="5">
        <is>
          <t xml:space="preserve">Opening stores</t>
        </is>
      </c>
      <c r="B5" s="10">
        <f>SUM('SwapDesk — Operations · Merchan'!B6,'SwapDesk — Operations · Merchan'!B7)</f>
        <v>0</v>
      </c>
      <c r="C5" s="10">
        <f>SUM('SwapDesk — Operations · Merchan'!C6,'SwapDesk — Operations · Merchan'!C7)</f>
        <v>7</v>
      </c>
      <c r="D5" s="10">
        <f>SUM('SwapDesk — Operations · Merchan'!D6,'SwapDesk — Operations · Merchan'!D7)</f>
        <v>8.309999999999999</v>
      </c>
      <c r="E5" s="10">
        <f>SUM('SwapDesk — Operations · Merchan'!E6,'SwapDesk — Operations · Merchan'!E7)</f>
        <v>9.5853</v>
      </c>
      <c r="F5" s="10">
        <f>SUM('SwapDesk — Operations · Merchan'!F6,'SwapDesk — Operations · Merchan'!F7)</f>
        <v>10.826849</v>
      </c>
      <c r="G5" s="10">
        <f>SUM('SwapDesk — Operations · Merchan'!G6,'SwapDesk — Operations · Merchan'!G7)</f>
        <v>12.03556937</v>
      </c>
      <c r="H5" s="10">
        <f>SUM('SwapDesk — Operations · Merchan'!H6,'SwapDesk — Operations · Merchan'!H7)</f>
        <v>13.2123576121</v>
      </c>
      <c r="I5" s="10">
        <f>SUM('SwapDesk — Operations · Merchan'!I6,'SwapDesk — Operations · Merchan'!I7)</f>
        <v>14.358085100472998</v>
      </c>
      <c r="J5" s="10">
        <f>SUM('SwapDesk — Operations · Merchan'!J6,'SwapDesk — Operations · Merchan'!J7)</f>
        <v>15.473598799860088</v>
      </c>
      <c r="K5" s="10">
        <f>SUM('SwapDesk — Operations · Merchan'!K6,'SwapDesk — Operations · Merchan'!K7)</f>
        <v>16.55972196321754</v>
      </c>
      <c r="L5" s="10">
        <f>SUM('SwapDesk — Operations · Merchan'!L6,'SwapDesk — Operations · Merchan'!L7)</f>
        <v>17.617254809127203</v>
      </c>
      <c r="M5" s="10">
        <f>SUM('SwapDesk — Operations · Merchan'!M6,'SwapDesk — Operations · Merchan'!M7)</f>
        <v>18.646975179563455</v>
      </c>
      <c r="N5" s="10">
        <f>SUM('SwapDesk — Operations · Merchan'!N6,'SwapDesk — Operations · Merchan'!N7)</f>
        <v>19.649639178592416</v>
      </c>
      <c r="O5" s="10">
        <f>SUM('SwapDesk — Operations · Merchan'!O6,'SwapDesk — Operations · Merchan'!O7)</f>
        <v>20.62598179256219</v>
      </c>
      <c r="P5" s="10">
        <f>SUM('SwapDesk — Operations · Merchan'!P6,'SwapDesk — Operations · Merchan'!P7)</f>
        <v>21.57671749232632</v>
      </c>
      <c r="Q5" s="10">
        <f>SUM('SwapDesk — Operations · Merchan'!Q6,'SwapDesk — Operations · Merchan'!Q7)</f>
        <v>22.50254081802671</v>
      </c>
      <c r="R5" s="10">
        <f>SUM('SwapDesk — Operations · Merchan'!R6,'SwapDesk — Operations · Merchan'!R7)</f>
        <v>23.40412694694668</v>
      </c>
      <c r="S5" s="10">
        <f>SUM('SwapDesk — Operations · Merchan'!S6,'SwapDesk — Operations · Merchan'!S7)</f>
        <v>24.282132244929834</v>
      </c>
      <c r="T5" s="10">
        <f>SUM('SwapDesk — Operations · Merchan'!T6,'SwapDesk — Operations · Merchan'!T7)</f>
        <v>25.137194801845666</v>
      </c>
      <c r="U5" s="10">
        <f>SUM('SwapDesk — Operations · Merchan'!U6,'SwapDesk — Operations · Merchan'!U7)</f>
        <v>25.96993495156875</v>
      </c>
      <c r="V5" s="10">
        <f>SUM('SwapDesk — Operations · Merchan'!V6,'SwapDesk — Operations · Merchan'!V7)</f>
        <v>26.78095577692457</v>
      </c>
      <c r="W5" s="10">
        <f>SUM('SwapDesk — Operations · Merchan'!W6,'SwapDesk — Operations · Merchan'!W7)</f>
        <v>27.570843600041655</v>
      </c>
      <c r="X5" s="10">
        <f>SUM('SwapDesk — Operations · Merchan'!X6,'SwapDesk — Operations · Merchan'!X7)</f>
        <v>28.340168458536738</v>
      </c>
      <c r="Y5" s="10">
        <f>SUM('SwapDesk — Operations · Merchan'!Y6,'SwapDesk — Operations · Merchan'!Y7)</f>
        <v>29.089484567947036</v>
      </c>
      <c r="Z5" s="10">
        <f>SUM('SwapDesk — Operations · Merchan'!Z6,'SwapDesk — Operations · Merchan'!Z7)</f>
        <v>29.8193307708117</v>
      </c>
    </row>
    <row r="6" outlineLevel="1">
      <c r="A6" t="inlineStr" s="16">
        <is>
          <t xml:space="preserve">Growing shop</t>
        </is>
      </c>
      <c r="B6" s="8">
        <f>0</f>
        <v>0</v>
      </c>
      <c r="C6" s="8">
        <f>IF('SwapDesk — Operations · Merchan'!B15="","",'SwapDesk — Operations · Merchan'!B15)</f>
        <v>2</v>
      </c>
      <c r="D6" s="8">
        <f>IF('SwapDesk — Operations · Merchan'!C15="","",'SwapDesk — Operations · Merchan'!C15)</f>
        <v>2.46</v>
      </c>
      <c r="E6" s="8">
        <f>IF('SwapDesk — Operations · Merchan'!D15="","",'SwapDesk — Operations · Merchan'!D15)</f>
        <v>2.9108</v>
      </c>
      <c r="F6" s="8">
        <f>IF('SwapDesk — Operations · Merchan'!E15="","",'SwapDesk — Operations · Merchan'!E15)</f>
        <v>3.3525840000000002</v>
      </c>
      <c r="G6" s="8">
        <f>IF('SwapDesk — Operations · Merchan'!F15="","",'SwapDesk — Operations · Merchan'!F15)</f>
        <v>3.78553232</v>
      </c>
      <c r="H6" s="8">
        <f>IF('SwapDesk — Operations · Merchan'!G15="","",'SwapDesk — Operations · Merchan'!G15)</f>
        <v>4.2098216736</v>
      </c>
      <c r="I6" s="8">
        <f>IF('SwapDesk — Operations · Merchan'!H15="","",'SwapDesk — Operations · Merchan'!H15)</f>
        <v>4.625625240128</v>
      </c>
      <c r="J6" s="8">
        <f>IF('SwapDesk — Operations · Merchan'!I15="","",'SwapDesk — Operations · Merchan'!I15)</f>
        <v>5.03311273532544</v>
      </c>
      <c r="K6" s="8">
        <f>IF('SwapDesk — Operations · Merchan'!J15="","",'SwapDesk — Operations · Merchan'!J15)</f>
        <v>5.432450480618931</v>
      </c>
      <c r="L6" s="8">
        <f>IF('SwapDesk — Operations · Merchan'!K15="","",'SwapDesk — Operations · Merchan'!K15)</f>
        <v>5.823801471006552</v>
      </c>
      <c r="M6" s="8">
        <f>IF('SwapDesk — Operations · Merchan'!L15="","",'SwapDesk — Operations · Merchan'!L15)</f>
        <v>6.207325441586422</v>
      </c>
      <c r="N6" s="8">
        <f>IF('SwapDesk — Operations · Merchan'!M15="","",'SwapDesk — Operations · Merchan'!M15)</f>
        <v>6.583178932754693</v>
      </c>
      <c r="O6" s="8">
        <f>IF('SwapDesk — Operations · Merchan'!N15="","",'SwapDesk — Operations · Merchan'!N15)</f>
        <v>6.951515354099599</v>
      </c>
      <c r="P6" s="8">
        <f>IF('SwapDesk — Operations · Merchan'!O15="","",'SwapDesk — Operations · Merchan'!O15)</f>
        <v>7.312485047017607</v>
      </c>
      <c r="Q6" s="8">
        <f>IF('SwapDesk — Operations · Merchan'!P15="","",'SwapDesk — Operations · Merchan'!P15)</f>
        <v>7.666235346077255</v>
      </c>
      <c r="R6" s="8">
        <f>IF('SwapDesk — Operations · Merchan'!Q15="","",'SwapDesk — Operations · Merchan'!Q15)</f>
        <v>8.01291063915571</v>
      </c>
      <c r="S6" s="8">
        <f>IF('SwapDesk — Operations · Merchan'!R15="","",'SwapDesk — Operations · Merchan'!R15)</f>
        <v>8.352652426372595</v>
      </c>
      <c r="T6" s="8">
        <f>IF('SwapDesk — Operations · Merchan'!S15="","",'SwapDesk — Operations · Merchan'!S15)</f>
        <v>8.685599377845143</v>
      </c>
      <c r="U6" s="8">
        <f>IF('SwapDesk — Operations · Merchan'!T15="","",'SwapDesk — Operations · Merchan'!T15)</f>
        <v>9.01188739028824</v>
      </c>
      <c r="V6" s="8">
        <f>IF('SwapDesk — Operations · Merchan'!U15="","",'SwapDesk — Operations · Merchan'!U15)</f>
        <v>9.331649642482477</v>
      </c>
      <c r="W6" s="8">
        <f>IF('SwapDesk — Operations · Merchan'!V15="","",'SwapDesk — Operations · Merchan'!V15)</f>
        <v>9.645016649632828</v>
      </c>
      <c r="X6" s="8">
        <f>IF('SwapDesk — Operations · Merchan'!W15="","",'SwapDesk — Operations · Merchan'!W15)</f>
        <v>9.95211631664017</v>
      </c>
      <c r="Y6" s="8">
        <f>IF('SwapDesk — Operations · Merchan'!X15="","",'SwapDesk — Operations · Merchan'!X15)</f>
        <v>10.253073990307367</v>
      </c>
      <c r="Z6" s="8">
        <f>IF('SwapDesk — Operations · Merchan'!Y15="","",'SwapDesk — Operations · Merchan'!Y15)</f>
        <v>10.54801251050122</v>
      </c>
    </row>
    <row r="7" outlineLevel="1">
      <c r="A7" t="inlineStr" s="16">
        <is>
          <t xml:space="preserve">Small shop</t>
        </is>
      </c>
      <c r="B7" s="8">
        <f>0</f>
        <v>0</v>
      </c>
      <c r="C7" s="8">
        <f>IF('SwapDesk — Operations · Merchan'!B16="","",'SwapDesk — Operations · Merchan'!B16)</f>
        <v>5</v>
      </c>
      <c r="D7" s="8">
        <f>IF('SwapDesk — Operations · Merchan'!C16="","",'SwapDesk — Operations · Merchan'!C16)</f>
        <v>5.85</v>
      </c>
      <c r="E7" s="8">
        <f>IF('SwapDesk — Operations · Merchan'!D16="","",'SwapDesk — Operations · Merchan'!D16)</f>
        <v>6.6745</v>
      </c>
      <c r="F7" s="8">
        <f>IF('SwapDesk — Operations · Merchan'!E16="","",'SwapDesk — Operations · Merchan'!E16)</f>
        <v>7.474265</v>
      </c>
      <c r="G7" s="8">
        <f>IF('SwapDesk — Operations · Merchan'!F16="","",'SwapDesk — Operations · Merchan'!F16)</f>
        <v>8.25003705</v>
      </c>
      <c r="H7" s="8">
        <f>IF('SwapDesk — Operations · Merchan'!G16="","",'SwapDesk — Operations · Merchan'!G16)</f>
        <v>9.0025359385</v>
      </c>
      <c r="I7" s="8">
        <f>IF('SwapDesk — Operations · Merchan'!H16="","",'SwapDesk — Operations · Merchan'!H16)</f>
        <v>9.732459860345</v>
      </c>
      <c r="J7" s="8">
        <f>IF('SwapDesk — Operations · Merchan'!I16="","",'SwapDesk — Operations · Merchan'!I16)</f>
        <v>10.44048606453465</v>
      </c>
      <c r="K7" s="8">
        <f>IF('SwapDesk — Operations · Merchan'!J16="","",'SwapDesk — Operations · Merchan'!J16)</f>
        <v>11.12727148259861</v>
      </c>
      <c r="L7" s="8">
        <f>IF('SwapDesk — Operations · Merchan'!K16="","",'SwapDesk — Operations · Merchan'!K16)</f>
        <v>11.793453338120653</v>
      </c>
      <c r="M7" s="8">
        <f>IF('SwapDesk — Operations · Merchan'!L16="","",'SwapDesk — Operations · Merchan'!L16)</f>
        <v>12.439649737977033</v>
      </c>
      <c r="N7" s="8">
        <f>IF('SwapDesk — Operations · Merchan'!M16="","",'SwapDesk — Operations · Merchan'!M16)</f>
        <v>13.066460245837723</v>
      </c>
      <c r="O7" s="8">
        <f>IF('SwapDesk — Operations · Merchan'!N16="","",'SwapDesk — Operations · Merchan'!N16)</f>
        <v>13.674466438462591</v>
      </c>
      <c r="P7" s="8">
        <f>IF('SwapDesk — Operations · Merchan'!O16="","",'SwapDesk — Operations · Merchan'!O16)</f>
        <v>14.264232445308714</v>
      </c>
      <c r="Q7" s="8">
        <f>IF('SwapDesk — Operations · Merchan'!P16="","",'SwapDesk — Operations · Merchan'!P16)</f>
        <v>14.836305471949453</v>
      </c>
      <c r="R7" s="8">
        <f>IF('SwapDesk — Operations · Merchan'!Q16="","",'SwapDesk — Operations · Merchan'!Q16)</f>
        <v>15.39121630779097</v>
      </c>
      <c r="S7" s="8">
        <f>IF('SwapDesk — Operations · Merchan'!R16="","",'SwapDesk — Operations · Merchan'!R16)</f>
        <v>15.92947981855724</v>
      </c>
      <c r="T7" s="8">
        <f>IF('SwapDesk — Operations · Merchan'!S16="","",'SwapDesk — Operations · Merchan'!S16)</f>
        <v>16.451595424000523</v>
      </c>
      <c r="U7" s="8">
        <f>IF('SwapDesk — Operations · Merchan'!T16="","",'SwapDesk — Operations · Merchan'!T16)</f>
        <v>16.95804756128051</v>
      </c>
      <c r="V7" s="8">
        <f>IF('SwapDesk — Operations · Merchan'!U16="","",'SwapDesk — Operations · Merchan'!U16)</f>
        <v>17.449306134442093</v>
      </c>
      <c r="W7" s="8">
        <f>IF('SwapDesk — Operations · Merchan'!V16="","",'SwapDesk — Operations · Merchan'!V16)</f>
        <v>17.92582695040883</v>
      </c>
      <c r="X7" s="8">
        <f>IF('SwapDesk — Operations · Merchan'!W16="","",'SwapDesk — Operations · Merchan'!W16)</f>
        <v>18.388052141896566</v>
      </c>
      <c r="Y7" s="8">
        <f>IF('SwapDesk — Operations · Merchan'!X16="","",'SwapDesk — Operations · Merchan'!X16)</f>
        <v>18.83641057763967</v>
      </c>
      <c r="Z7" s="8">
        <f>IF('SwapDesk — Operations · Merchan'!Y16="","",'SwapDesk — Operations · Merchan'!Y16)</f>
        <v>19.27131826031048</v>
      </c>
    </row>
    <row r="8">
      <c r="A8" t="inlineStr" s="5">
        <is>
          <t xml:space="preserve">New stores</t>
        </is>
      </c>
      <c r="B8" s="10">
        <f>SUM('SwapDesk — Operations · Merchan'!B9,'SwapDesk — Operations · Merchan'!B10)</f>
        <v>0</v>
      </c>
      <c r="C8" s="10">
        <f>SUM('SwapDesk — Operations · Merchan'!C9,'SwapDesk — Operations · Merchan'!C10)</f>
        <v>1.5</v>
      </c>
      <c r="D8" s="10">
        <f>SUM('SwapDesk — Operations · Merchan'!D9,'SwapDesk — Operations · Merchan'!D10)</f>
        <v>1.5</v>
      </c>
      <c r="E8" s="10">
        <f>SUM('SwapDesk — Operations · Merchan'!E9,'SwapDesk — Operations · Merchan'!E10)</f>
        <v>1.5</v>
      </c>
      <c r="F8" s="10">
        <f>SUM('SwapDesk — Operations · Merchan'!F9,'SwapDesk — Operations · Merchan'!F10)</f>
        <v>1.5</v>
      </c>
      <c r="G8" s="10">
        <f>SUM('SwapDesk — Operations · Merchan'!G9,'SwapDesk — Operations · Merchan'!G10)</f>
        <v>1.5</v>
      </c>
      <c r="H8" s="10">
        <f>SUM('SwapDesk — Operations · Merchan'!H9,'SwapDesk — Operations · Merchan'!H10)</f>
        <v>1.5</v>
      </c>
      <c r="I8" s="10">
        <f>SUM('SwapDesk — Operations · Merchan'!I9,'SwapDesk — Operations · Merchan'!I10)</f>
        <v>1.5</v>
      </c>
      <c r="J8" s="10">
        <f>SUM('SwapDesk — Operations · Merchan'!J9,'SwapDesk — Operations · Merchan'!J10)</f>
        <v>1.5</v>
      </c>
      <c r="K8" s="10">
        <f>SUM('SwapDesk — Operations · Merchan'!K9,'SwapDesk — Operations · Merchan'!K10)</f>
        <v>1.5</v>
      </c>
      <c r="L8" s="10">
        <f>SUM('SwapDesk — Operations · Merchan'!L9,'SwapDesk — Operations · Merchan'!L10)</f>
        <v>1.5</v>
      </c>
      <c r="M8" s="10">
        <f>SUM('SwapDesk — Operations · Merchan'!M9,'SwapDesk — Operations · Merchan'!M10)</f>
        <v>1.5</v>
      </c>
      <c r="N8" s="10">
        <f>SUM('SwapDesk — Operations · Merchan'!N9,'SwapDesk — Operations · Merchan'!N10)</f>
        <v>1.5</v>
      </c>
      <c r="O8" s="10">
        <f>SUM('SwapDesk — Operations · Merchan'!O9,'SwapDesk — Operations · Merchan'!O10)</f>
        <v>1.5</v>
      </c>
      <c r="P8" s="10">
        <f>SUM('SwapDesk — Operations · Merchan'!P9,'SwapDesk — Operations · Merchan'!P10)</f>
        <v>1.5</v>
      </c>
      <c r="Q8" s="10">
        <f>SUM('SwapDesk — Operations · Merchan'!Q9,'SwapDesk — Operations · Merchan'!Q10)</f>
        <v>1.5</v>
      </c>
      <c r="R8" s="10">
        <f>SUM('SwapDesk — Operations · Merchan'!R9,'SwapDesk — Operations · Merchan'!R10)</f>
        <v>1.5</v>
      </c>
      <c r="S8" s="10">
        <f>SUM('SwapDesk — Operations · Merchan'!S9,'SwapDesk — Operations · Merchan'!S10)</f>
        <v>1.5</v>
      </c>
      <c r="T8" s="10">
        <f>SUM('SwapDesk — Operations · Merchan'!T9,'SwapDesk — Operations · Merchan'!T10)</f>
        <v>1.5</v>
      </c>
      <c r="U8" s="10">
        <f>SUM('SwapDesk — Operations · Merchan'!U9,'SwapDesk — Operations · Merchan'!U10)</f>
        <v>1.5</v>
      </c>
      <c r="V8" s="10">
        <f>SUM('SwapDesk — Operations · Merchan'!V9,'SwapDesk — Operations · Merchan'!V10)</f>
        <v>1.5</v>
      </c>
      <c r="W8" s="10">
        <f>SUM('SwapDesk — Operations · Merchan'!W9,'SwapDesk — Operations · Merchan'!W10)</f>
        <v>1.5</v>
      </c>
      <c r="X8" s="10">
        <f>SUM('SwapDesk — Operations · Merchan'!X9,'SwapDesk — Operations · Merchan'!X10)</f>
        <v>1.5</v>
      </c>
      <c r="Y8" s="10">
        <f>SUM('SwapDesk — Operations · Merchan'!Y9,'SwapDesk — Operations · Merchan'!Y10)</f>
        <v>1.5</v>
      </c>
      <c r="Z8" s="10">
        <f>SUM('SwapDesk — Operations · Merchan'!Z9,'SwapDesk — Operations · Merchan'!Z10)</f>
        <v>1.5</v>
      </c>
    </row>
    <row r="9" outlineLevel="1">
      <c r="A9" t="inlineStr" s="16">
        <is>
          <t xml:space="preserve">Growing shop</t>
        </is>
      </c>
      <c r="B9" s="8">
        <f>0</f>
        <v>0</v>
      </c>
      <c r="C9" s="8">
        <f>IF('SwapDesk — Assumptions · Mercha'!B5="","",'SwapDesk — Assumptions · Mercha'!B5)</f>
        <v>0.5</v>
      </c>
      <c r="D9" s="8">
        <f>IF('SwapDesk — Assumptions · Mercha'!B5="","",'SwapDesk — Assumptions · Mercha'!B5)</f>
        <v>0.5</v>
      </c>
      <c r="E9" s="8">
        <f>IF('SwapDesk — Assumptions · Mercha'!B5="","",'SwapDesk — Assumptions · Mercha'!B5)</f>
        <v>0.5</v>
      </c>
      <c r="F9" s="8">
        <f>IF('SwapDesk — Assumptions · Mercha'!B5="","",'SwapDesk — Assumptions · Mercha'!B5)</f>
        <v>0.5</v>
      </c>
      <c r="G9" s="8">
        <f>IF('SwapDesk — Assumptions · Mercha'!B5="","",'SwapDesk — Assumptions · Mercha'!B5)</f>
        <v>0.5</v>
      </c>
      <c r="H9" s="8">
        <f>IF('SwapDesk — Assumptions · Mercha'!B5="","",'SwapDesk — Assumptions · Mercha'!B5)</f>
        <v>0.5</v>
      </c>
      <c r="I9" s="8">
        <f>IF('SwapDesk — Assumptions · Mercha'!B5="","",'SwapDesk — Assumptions · Mercha'!B5)</f>
        <v>0.5</v>
      </c>
      <c r="J9" s="8">
        <f>IF('SwapDesk — Assumptions · Mercha'!B5="","",'SwapDesk — Assumptions · Mercha'!B5)</f>
        <v>0.5</v>
      </c>
      <c r="K9" s="8">
        <f>IF('SwapDesk — Assumptions · Mercha'!B5="","",'SwapDesk — Assumptions · Mercha'!B5)</f>
        <v>0.5</v>
      </c>
      <c r="L9" s="8">
        <f>IF('SwapDesk — Assumptions · Mercha'!B5="","",'SwapDesk — Assumptions · Mercha'!B5)</f>
        <v>0.5</v>
      </c>
      <c r="M9" s="8">
        <f>IF('SwapDesk — Assumptions · Mercha'!B5="","",'SwapDesk — Assumptions · Mercha'!B5)</f>
        <v>0.5</v>
      </c>
      <c r="N9" s="8">
        <f>IF('SwapDesk — Assumptions · Mercha'!B5="","",'SwapDesk — Assumptions · Mercha'!B5)</f>
        <v>0.5</v>
      </c>
      <c r="O9" s="8">
        <f>IF('SwapDesk — Assumptions · Mercha'!B5="","",'SwapDesk — Assumptions · Mercha'!B5)</f>
        <v>0.5</v>
      </c>
      <c r="P9" s="8">
        <f>IF('SwapDesk — Assumptions · Mercha'!B5="","",'SwapDesk — Assumptions · Mercha'!B5)</f>
        <v>0.5</v>
      </c>
      <c r="Q9" s="8">
        <f>IF('SwapDesk — Assumptions · Mercha'!B5="","",'SwapDesk — Assumptions · Mercha'!B5)</f>
        <v>0.5</v>
      </c>
      <c r="R9" s="8">
        <f>IF('SwapDesk — Assumptions · Mercha'!B5="","",'SwapDesk — Assumptions · Mercha'!B5)</f>
        <v>0.5</v>
      </c>
      <c r="S9" s="8">
        <f>IF('SwapDesk — Assumptions · Mercha'!B5="","",'SwapDesk — Assumptions · Mercha'!B5)</f>
        <v>0.5</v>
      </c>
      <c r="T9" s="8">
        <f>IF('SwapDesk — Assumptions · Mercha'!B5="","",'SwapDesk — Assumptions · Mercha'!B5)</f>
        <v>0.5</v>
      </c>
      <c r="U9" s="8">
        <f>IF('SwapDesk — Assumptions · Mercha'!B5="","",'SwapDesk — Assumptions · Mercha'!B5)</f>
        <v>0.5</v>
      </c>
      <c r="V9" s="8">
        <f>IF('SwapDesk — Assumptions · Mercha'!B5="","",'SwapDesk — Assumptions · Mercha'!B5)</f>
        <v>0.5</v>
      </c>
      <c r="W9" s="8">
        <f>IF('SwapDesk — Assumptions · Mercha'!B5="","",'SwapDesk — Assumptions · Mercha'!B5)</f>
        <v>0.5</v>
      </c>
      <c r="X9" s="8">
        <f>IF('SwapDesk — Assumptions · Mercha'!B5="","",'SwapDesk — Assumptions · Mercha'!B5)</f>
        <v>0.5</v>
      </c>
      <c r="Y9" s="8">
        <f>IF('SwapDesk — Assumptions · Mercha'!B5="","",'SwapDesk — Assumptions · Mercha'!B5)</f>
        <v>0.5</v>
      </c>
      <c r="Z9" s="8">
        <f>IF('SwapDesk — Assumptions · Mercha'!B5="","",'SwapDesk — Assumptions · Mercha'!B5)</f>
        <v>0.5</v>
      </c>
    </row>
    <row r="10" outlineLevel="1">
      <c r="A10" t="inlineStr" s="16">
        <is>
          <t xml:space="preserve">Small shop</t>
        </is>
      </c>
      <c r="B10" s="8">
        <f>0</f>
        <v>0</v>
      </c>
      <c r="C10" s="8">
        <f>IF('SwapDesk — Assumptions · Mercha'!B6="","",'SwapDesk — Assumptions · Mercha'!B6)</f>
        <v>1</v>
      </c>
      <c r="D10" s="8">
        <f>IF('SwapDesk — Assumptions · Mercha'!B6="","",'SwapDesk — Assumptions · Mercha'!B6)</f>
        <v>1</v>
      </c>
      <c r="E10" s="8">
        <f>IF('SwapDesk — Assumptions · Mercha'!B6="","",'SwapDesk — Assumptions · Mercha'!B6)</f>
        <v>1</v>
      </c>
      <c r="F10" s="8">
        <f>IF('SwapDesk — Assumptions · Mercha'!B6="","",'SwapDesk — Assumptions · Mercha'!B6)</f>
        <v>1</v>
      </c>
      <c r="G10" s="8">
        <f>IF('SwapDesk — Assumptions · Mercha'!B6="","",'SwapDesk — Assumptions · Mercha'!B6)</f>
        <v>1</v>
      </c>
      <c r="H10" s="8">
        <f>IF('SwapDesk — Assumptions · Mercha'!B6="","",'SwapDesk — Assumptions · Mercha'!B6)</f>
        <v>1</v>
      </c>
      <c r="I10" s="8">
        <f>IF('SwapDesk — Assumptions · Mercha'!B6="","",'SwapDesk — Assumptions · Mercha'!B6)</f>
        <v>1</v>
      </c>
      <c r="J10" s="8">
        <f>IF('SwapDesk — Assumptions · Mercha'!B6="","",'SwapDesk — Assumptions · Mercha'!B6)</f>
        <v>1</v>
      </c>
      <c r="K10" s="8">
        <f>IF('SwapDesk — Assumptions · Mercha'!B6="","",'SwapDesk — Assumptions · Mercha'!B6)</f>
        <v>1</v>
      </c>
      <c r="L10" s="8">
        <f>IF('SwapDesk — Assumptions · Mercha'!B6="","",'SwapDesk — Assumptions · Mercha'!B6)</f>
        <v>1</v>
      </c>
      <c r="M10" s="8">
        <f>IF('SwapDesk — Assumptions · Mercha'!B6="","",'SwapDesk — Assumptions · Mercha'!B6)</f>
        <v>1</v>
      </c>
      <c r="N10" s="8">
        <f>IF('SwapDesk — Assumptions · Mercha'!B6="","",'SwapDesk — Assumptions · Mercha'!B6)</f>
        <v>1</v>
      </c>
      <c r="O10" s="8">
        <f>IF('SwapDesk — Assumptions · Mercha'!B6="","",'SwapDesk — Assumptions · Mercha'!B6)</f>
        <v>1</v>
      </c>
      <c r="P10" s="8">
        <f>IF('SwapDesk — Assumptions · Mercha'!B6="","",'SwapDesk — Assumptions · Mercha'!B6)</f>
        <v>1</v>
      </c>
      <c r="Q10" s="8">
        <f>IF('SwapDesk — Assumptions · Mercha'!B6="","",'SwapDesk — Assumptions · Mercha'!B6)</f>
        <v>1</v>
      </c>
      <c r="R10" s="8">
        <f>IF('SwapDesk — Assumptions · Mercha'!B6="","",'SwapDesk — Assumptions · Mercha'!B6)</f>
        <v>1</v>
      </c>
      <c r="S10" s="8">
        <f>IF('SwapDesk — Assumptions · Mercha'!B6="","",'SwapDesk — Assumptions · Mercha'!B6)</f>
        <v>1</v>
      </c>
      <c r="T10" s="8">
        <f>IF('SwapDesk — Assumptions · Mercha'!B6="","",'SwapDesk — Assumptions · Mercha'!B6)</f>
        <v>1</v>
      </c>
      <c r="U10" s="8">
        <f>IF('SwapDesk — Assumptions · Mercha'!B6="","",'SwapDesk — Assumptions · Mercha'!B6)</f>
        <v>1</v>
      </c>
      <c r="V10" s="8">
        <f>IF('SwapDesk — Assumptions · Mercha'!B6="","",'SwapDesk — Assumptions · Mercha'!B6)</f>
        <v>1</v>
      </c>
      <c r="W10" s="8">
        <f>IF('SwapDesk — Assumptions · Mercha'!B6="","",'SwapDesk — Assumptions · Mercha'!B6)</f>
        <v>1</v>
      </c>
      <c r="X10" s="8">
        <f>IF('SwapDesk — Assumptions · Mercha'!B6="","",'SwapDesk — Assumptions · Mercha'!B6)</f>
        <v>1</v>
      </c>
      <c r="Y10" s="8">
        <f>IF('SwapDesk — Assumptions · Mercha'!B6="","",'SwapDesk — Assumptions · Mercha'!B6)</f>
        <v>1</v>
      </c>
      <c r="Z10" s="8">
        <f>IF('SwapDesk — Assumptions · Mercha'!B6="","",'SwapDesk — Assumptions · Mercha'!B6)</f>
        <v>1</v>
      </c>
    </row>
    <row r="11">
      <c r="A11" t="inlineStr" s="5">
        <is>
          <t xml:space="preserve">Lost stores</t>
        </is>
      </c>
      <c r="B11" s="10">
        <f>SUM('SwapDesk — Operations · Merchan'!B12,'SwapDesk — Operations · Merchan'!B13)</f>
        <v>0</v>
      </c>
      <c r="C11" s="10">
        <f>SUM('SwapDesk — Operations · Merchan'!C12,'SwapDesk — Operations · Merchan'!C13)</f>
        <v>0.19</v>
      </c>
      <c r="D11" s="10">
        <f>SUM('SwapDesk — Operations · Merchan'!D12,'SwapDesk — Operations · Merchan'!D13)</f>
        <v>0.22469999999999998</v>
      </c>
      <c r="E11" s="10">
        <f>SUM('SwapDesk — Operations · Merchan'!E12,'SwapDesk — Operations · Merchan'!E13)</f>
        <v>0.258451</v>
      </c>
      <c r="F11" s="10">
        <f>SUM('SwapDesk — Operations · Merchan'!F12,'SwapDesk — Operations · Merchan'!F13)</f>
        <v>0.29127963</v>
      </c>
      <c r="G11" s="10">
        <f>SUM('SwapDesk — Operations · Merchan'!G12,'SwapDesk — Operations · Merchan'!G13)</f>
        <v>0.3232117579</v>
      </c>
      <c r="H11" s="10">
        <f>SUM('SwapDesk — Operations · Merchan'!H12,'SwapDesk — Operations · Merchan'!H13)</f>
        <v>0.35427251162699996</v>
      </c>
      <c r="I11" s="10">
        <f>SUM('SwapDesk — Operations · Merchan'!I12,'SwapDesk — Operations · Merchan'!I13)</f>
        <v>0.38448630061291</v>
      </c>
      <c r="J11" s="10">
        <f>SUM('SwapDesk — Operations · Merchan'!J12,'SwapDesk — Operations · Merchan'!J13)</f>
        <v>0.41387683664254826</v>
      </c>
      <c r="K11" s="10">
        <f>SUM('SwapDesk — Operations · Merchan'!K12,'SwapDesk — Operations · Merchan'!K13)</f>
        <v>0.44246715409033693</v>
      </c>
      <c r="L11" s="10">
        <f>SUM('SwapDesk — Operations · Merchan'!L12,'SwapDesk — Operations · Merchan'!L13)</f>
        <v>0.4702796295637506</v>
      </c>
      <c r="M11" s="10">
        <f>SUM('SwapDesk — Operations · Merchan'!M12,'SwapDesk — Operations · Merchan'!M13)</f>
        <v>0.4973360009710394</v>
      </c>
      <c r="N11" s="10">
        <f>SUM('SwapDesk — Operations · Merchan'!N12,'SwapDesk — Operations · Merchan'!N13)</f>
        <v>0.5236573860302256</v>
      </c>
      <c r="O11" s="10">
        <f>SUM('SwapDesk — Operations · Merchan'!O12,'SwapDesk — Operations · Merchan'!O13)</f>
        <v>0.5492643002358697</v>
      </c>
      <c r="P11" s="10">
        <f>SUM('SwapDesk — Operations · Merchan'!P12,'SwapDesk — Operations · Merchan'!P13)</f>
        <v>0.5741766742996135</v>
      </c>
      <c r="Q11" s="10">
        <f>SUM('SwapDesk — Operations · Merchan'!Q12,'SwapDesk — Operations · Merchan'!Q13)</f>
        <v>0.5984138710800286</v>
      </c>
      <c r="R11" s="10">
        <f>SUM('SwapDesk — Operations · Merchan'!R12,'SwapDesk — Operations · Merchan'!R13)</f>
        <v>0.6219947020168433</v>
      </c>
      <c r="S11" s="10">
        <f>SUM('SwapDesk — Operations · Merchan'!S12,'SwapDesk — Operations · Merchan'!S13)</f>
        <v>0.6449374430841691</v>
      </c>
      <c r="T11" s="10">
        <f>SUM('SwapDesk — Operations · Merchan'!T12,'SwapDesk — Operations · Merchan'!T13)</f>
        <v>0.6672598502769185</v>
      </c>
      <c r="U11" s="10">
        <f>SUM('SwapDesk — Operations · Merchan'!U12,'SwapDesk — Operations · Merchan'!U13)</f>
        <v>0.6889791746441801</v>
      </c>
      <c r="V11" s="10">
        <f>SUM('SwapDesk — Operations · Merchan'!V12,'SwapDesk — Operations · Merchan'!V13)</f>
        <v>0.7101121768829123</v>
      </c>
      <c r="W11" s="10">
        <f>SUM('SwapDesk — Operations · Merchan'!W12,'SwapDesk — Operations · Merchan'!W13)</f>
        <v>0.7306751415049214</v>
      </c>
      <c r="X11" s="10">
        <f>SUM('SwapDesk — Operations · Merchan'!X12,'SwapDesk — Operations · Merchan'!X13)</f>
        <v>0.7506838905897003</v>
      </c>
      <c r="Y11" s="10">
        <f>SUM('SwapDesk — Operations · Merchan'!Y12,'SwapDesk — Operations · Merchan'!Y13)</f>
        <v>0.7701537971353374</v>
      </c>
      <c r="Z11" s="10">
        <f>SUM('SwapDesk — Operations · Merchan'!Z12,'SwapDesk — Operations · Merchan'!Z13)</f>
        <v>0.7890997980193388</v>
      </c>
    </row>
    <row r="12" outlineLevel="1">
      <c r="A12" t="inlineStr" s="16">
        <is>
          <t xml:space="preserve">Growing shop</t>
        </is>
      </c>
      <c r="B12" s="8">
        <f>0</f>
        <v>0</v>
      </c>
      <c r="C12" s="8">
        <f>'SwapDesk — Operations · Merchan'!C6*'SwapDesk — Assumptions · Mercha'!C5</f>
        <v>0.04</v>
      </c>
      <c r="D12" s="8">
        <f>'SwapDesk — Operations · Merchan'!D6*'SwapDesk — Assumptions · Mercha'!C5</f>
        <v>0.0492</v>
      </c>
      <c r="E12" s="8">
        <f>'SwapDesk — Operations · Merchan'!E6*'SwapDesk — Assumptions · Mercha'!C5</f>
        <v>0.058216000000000004</v>
      </c>
      <c r="F12" s="8">
        <f>'SwapDesk — Operations · Merchan'!F6*'SwapDesk — Assumptions · Mercha'!C5</f>
        <v>0.06705168</v>
      </c>
      <c r="G12" s="8">
        <f>'SwapDesk — Operations · Merchan'!G6*'SwapDesk — Assumptions · Mercha'!C5</f>
        <v>0.07571064640000001</v>
      </c>
      <c r="H12" s="8">
        <f>'SwapDesk — Operations · Merchan'!H6*'SwapDesk — Assumptions · Mercha'!C5</f>
        <v>0.084196433472</v>
      </c>
      <c r="I12" s="8">
        <f>'SwapDesk — Operations · Merchan'!I6*'SwapDesk — Assumptions · Mercha'!C5</f>
        <v>0.09251250480256</v>
      </c>
      <c r="J12" s="8">
        <f>'SwapDesk — Operations · Merchan'!J6*'SwapDesk — Assumptions · Mercha'!C5</f>
        <v>0.1006622547065088</v>
      </c>
      <c r="K12" s="8">
        <f>'SwapDesk — Operations · Merchan'!K6*'SwapDesk — Assumptions · Mercha'!C5</f>
        <v>0.10864900961237861</v>
      </c>
      <c r="L12" s="8">
        <f>'SwapDesk — Operations · Merchan'!L6*'SwapDesk — Assumptions · Mercha'!C5</f>
        <v>0.11647602942013105</v>
      </c>
      <c r="M12" s="8">
        <f>'SwapDesk — Operations · Merchan'!M6*'SwapDesk — Assumptions · Mercha'!C5</f>
        <v>0.12414650883172844</v>
      </c>
      <c r="N12" s="8">
        <f>'SwapDesk — Operations · Merchan'!N6*'SwapDesk — Assumptions · Mercha'!C5</f>
        <v>0.13166357865509387</v>
      </c>
      <c r="O12" s="8">
        <f>'SwapDesk — Operations · Merchan'!O6*'SwapDesk — Assumptions · Mercha'!C5</f>
        <v>0.139030307081992</v>
      </c>
      <c r="P12" s="8">
        <f>'SwapDesk — Operations · Merchan'!P6*'SwapDesk — Assumptions · Mercha'!C5</f>
        <v>0.14624970094035214</v>
      </c>
      <c r="Q12" s="8">
        <f>'SwapDesk — Operations · Merchan'!Q6*'SwapDesk — Assumptions · Mercha'!C5</f>
        <v>0.1533247069215451</v>
      </c>
      <c r="R12" s="8">
        <f>'SwapDesk — Operations · Merchan'!R6*'SwapDesk — Assumptions · Mercha'!C5</f>
        <v>0.1602582127831142</v>
      </c>
      <c r="S12" s="8">
        <f>'SwapDesk — Operations · Merchan'!S6*'SwapDesk — Assumptions · Mercha'!C5</f>
        <v>0.1670530485274519</v>
      </c>
      <c r="T12" s="8">
        <f>'SwapDesk — Operations · Merchan'!T6*'SwapDesk — Assumptions · Mercha'!C5</f>
        <v>0.17371198755690287</v>
      </c>
      <c r="U12" s="8">
        <f>'SwapDesk — Operations · Merchan'!U6*'SwapDesk — Assumptions · Mercha'!C5</f>
        <v>0.18023774780576482</v>
      </c>
      <c r="V12" s="8">
        <f>'SwapDesk — Operations · Merchan'!V6*'SwapDesk — Assumptions · Mercha'!C5</f>
        <v>0.18663299284964954</v>
      </c>
      <c r="W12" s="8">
        <f>'SwapDesk — Operations · Merchan'!W6*'SwapDesk — Assumptions · Mercha'!C5</f>
        <v>0.19290033299265655</v>
      </c>
      <c r="X12" s="8">
        <f>'SwapDesk — Operations · Merchan'!X6*'SwapDesk — Assumptions · Mercha'!C5</f>
        <v>0.19904232633280342</v>
      </c>
      <c r="Y12" s="8">
        <f>'SwapDesk — Operations · Merchan'!Y6*'SwapDesk — Assumptions · Mercha'!C5</f>
        <v>0.20506147980614736</v>
      </c>
      <c r="Z12" s="8">
        <f>'SwapDesk — Operations · Merchan'!Z6*'SwapDesk — Assumptions · Mercha'!C5</f>
        <v>0.2109602502100244</v>
      </c>
    </row>
    <row r="13" outlineLevel="1">
      <c r="A13" t="inlineStr" s="16">
        <is>
          <t xml:space="preserve">Small shop</t>
        </is>
      </c>
      <c r="B13" s="8">
        <f>0</f>
        <v>0</v>
      </c>
      <c r="C13" s="8">
        <f>'SwapDesk — Operations · Merchan'!C7*'SwapDesk — Assumptions · Mercha'!C6</f>
        <v>0.15</v>
      </c>
      <c r="D13" s="8">
        <f>'SwapDesk — Operations · Merchan'!D7*'SwapDesk — Assumptions · Mercha'!C6</f>
        <v>0.1755</v>
      </c>
      <c r="E13" s="8">
        <f>'SwapDesk — Operations · Merchan'!E7*'SwapDesk — Assumptions · Mercha'!C6</f>
        <v>0.200235</v>
      </c>
      <c r="F13" s="8">
        <f>'SwapDesk — Operations · Merchan'!F7*'SwapDesk — Assumptions · Mercha'!C6</f>
        <v>0.22422794999999998</v>
      </c>
      <c r="G13" s="8">
        <f>'SwapDesk — Operations · Merchan'!G7*'SwapDesk — Assumptions · Mercha'!C6</f>
        <v>0.24750111149999998</v>
      </c>
      <c r="H13" s="8">
        <f>'SwapDesk — Operations · Merchan'!H7*'SwapDesk — Assumptions · Mercha'!C6</f>
        <v>0.27007607815499995</v>
      </c>
      <c r="I13" s="8">
        <f>'SwapDesk — Operations · Merchan'!I7*'SwapDesk — Assumptions · Mercha'!C6</f>
        <v>0.29197379581035</v>
      </c>
      <c r="J13" s="8">
        <f>'SwapDesk — Operations · Merchan'!J7*'SwapDesk — Assumptions · Mercha'!C6</f>
        <v>0.31321458193603946</v>
      </c>
      <c r="K13" s="8">
        <f>'SwapDesk — Operations · Merchan'!K7*'SwapDesk — Assumptions · Mercha'!C6</f>
        <v>0.3338181444779583</v>
      </c>
      <c r="L13" s="8">
        <f>'SwapDesk — Operations · Merchan'!L7*'SwapDesk — Assumptions · Mercha'!C6</f>
        <v>0.35380360014361956</v>
      </c>
      <c r="M13" s="8">
        <f>'SwapDesk — Operations · Merchan'!M7*'SwapDesk — Assumptions · Mercha'!C6</f>
        <v>0.37318949213931096</v>
      </c>
      <c r="N13" s="8">
        <f>'SwapDesk — Operations · Merchan'!N7*'SwapDesk — Assumptions · Mercha'!C6</f>
        <v>0.3919938073751317</v>
      </c>
      <c r="O13" s="8">
        <f>'SwapDesk — Operations · Merchan'!O7*'SwapDesk — Assumptions · Mercha'!C6</f>
        <v>0.4102339931538777</v>
      </c>
      <c r="P13" s="8">
        <f>'SwapDesk — Operations · Merchan'!P7*'SwapDesk — Assumptions · Mercha'!C6</f>
        <v>0.4279269733592614</v>
      </c>
      <c r="Q13" s="8">
        <f>'SwapDesk — Operations · Merchan'!Q7*'SwapDesk — Assumptions · Mercha'!C6</f>
        <v>0.4450891641584836</v>
      </c>
      <c r="R13" s="8">
        <f>'SwapDesk — Operations · Merchan'!R7*'SwapDesk — Assumptions · Mercha'!C6</f>
        <v>0.46173648923372906</v>
      </c>
      <c r="S13" s="8">
        <f>'SwapDesk — Operations · Merchan'!S7*'SwapDesk — Assumptions · Mercha'!C6</f>
        <v>0.4778843945567172</v>
      </c>
      <c r="T13" s="8">
        <f>'SwapDesk — Operations · Merchan'!T7*'SwapDesk — Assumptions · Mercha'!C6</f>
        <v>0.49354786272001566</v>
      </c>
      <c r="U13" s="8">
        <f>'SwapDesk — Operations · Merchan'!U7*'SwapDesk — Assumptions · Mercha'!C6</f>
        <v>0.5087414268384153</v>
      </c>
      <c r="V13" s="8">
        <f>'SwapDesk — Operations · Merchan'!V7*'SwapDesk — Assumptions · Mercha'!C6</f>
        <v>0.5234791840332628</v>
      </c>
      <c r="W13" s="8">
        <f>'SwapDesk — Operations · Merchan'!W7*'SwapDesk — Assumptions · Mercha'!C6</f>
        <v>0.5377748085122649</v>
      </c>
      <c r="X13" s="8">
        <f>'SwapDesk — Operations · Merchan'!X7*'SwapDesk — Assumptions · Mercha'!C6</f>
        <v>0.5516415642568969</v>
      </c>
      <c r="Y13" s="8">
        <f>'SwapDesk — Operations · Merchan'!Y7*'SwapDesk — Assumptions · Mercha'!C6</f>
        <v>0.5650923173291901</v>
      </c>
      <c r="Z13" s="8">
        <f>'SwapDesk — Operations · Merchan'!Z7*'SwapDesk — Assumptions · Mercha'!C6</f>
        <v>0.5781395478093144</v>
      </c>
    </row>
    <row r="14">
      <c r="A14" t="inlineStr" s="5">
        <is>
          <t xml:space="preserve">Ending stores</t>
        </is>
      </c>
      <c r="B14" s="10">
        <f>SUM('SwapDesk — Operations · Merchan'!B15,'SwapDesk — Operations · Merchan'!B16)</f>
        <v>7</v>
      </c>
      <c r="C14" s="10">
        <f>SUM('SwapDesk — Operations · Merchan'!C15,'SwapDesk — Operations · Merchan'!C16)</f>
        <v>8.309999999999999</v>
      </c>
      <c r="D14" s="10">
        <f>SUM('SwapDesk — Operations · Merchan'!D15,'SwapDesk — Operations · Merchan'!D16)</f>
        <v>9.5853</v>
      </c>
      <c r="E14" s="10">
        <f>SUM('SwapDesk — Operations · Merchan'!E15,'SwapDesk — Operations · Merchan'!E16)</f>
        <v>10.826849</v>
      </c>
      <c r="F14" s="10">
        <f>SUM('SwapDesk — Operations · Merchan'!F15,'SwapDesk — Operations · Merchan'!F16)</f>
        <v>12.03556937</v>
      </c>
      <c r="G14" s="10">
        <f>SUM('SwapDesk — Operations · Merchan'!G15,'SwapDesk — Operations · Merchan'!G16)</f>
        <v>13.2123576121</v>
      </c>
      <c r="H14" s="10">
        <f>SUM('SwapDesk — Operations · Merchan'!H15,'SwapDesk — Operations · Merchan'!H16)</f>
        <v>14.358085100472998</v>
      </c>
      <c r="I14" s="10">
        <f>SUM('SwapDesk — Operations · Merchan'!I15,'SwapDesk — Operations · Merchan'!I16)</f>
        <v>15.473598799860088</v>
      </c>
      <c r="J14" s="10">
        <f>SUM('SwapDesk — Operations · Merchan'!J15,'SwapDesk — Operations · Merchan'!J16)</f>
        <v>16.55972196321754</v>
      </c>
      <c r="K14" s="10">
        <f>SUM('SwapDesk — Operations · Merchan'!K15,'SwapDesk — Operations · Merchan'!K16)</f>
        <v>17.617254809127203</v>
      </c>
      <c r="L14" s="10">
        <f>SUM('SwapDesk — Operations · Merchan'!L15,'SwapDesk — Operations · Merchan'!L16)</f>
        <v>18.646975179563455</v>
      </c>
      <c r="M14" s="10">
        <f>SUM('SwapDesk — Operations · Merchan'!M15,'SwapDesk — Operations · Merchan'!M16)</f>
        <v>19.649639178592416</v>
      </c>
      <c r="N14" s="10">
        <f>SUM('SwapDesk — Operations · Merchan'!N15,'SwapDesk — Operations · Merchan'!N16)</f>
        <v>20.62598179256219</v>
      </c>
      <c r="O14" s="10">
        <f>SUM('SwapDesk — Operations · Merchan'!O15,'SwapDesk — Operations · Merchan'!O16)</f>
        <v>21.57671749232632</v>
      </c>
      <c r="P14" s="10">
        <f>SUM('SwapDesk — Operations · Merchan'!P15,'SwapDesk — Operations · Merchan'!P16)</f>
        <v>22.50254081802671</v>
      </c>
      <c r="Q14" s="10">
        <f>SUM('SwapDesk — Operations · Merchan'!Q15,'SwapDesk — Operations · Merchan'!Q16)</f>
        <v>23.40412694694668</v>
      </c>
      <c r="R14" s="10">
        <f>SUM('SwapDesk — Operations · Merchan'!R15,'SwapDesk — Operations · Merchan'!R16)</f>
        <v>24.282132244929834</v>
      </c>
      <c r="S14" s="10">
        <f>SUM('SwapDesk — Operations · Merchan'!S15,'SwapDesk — Operations · Merchan'!S16)</f>
        <v>25.137194801845666</v>
      </c>
      <c r="T14" s="10">
        <f>SUM('SwapDesk — Operations · Merchan'!T15,'SwapDesk — Operations · Merchan'!T16)</f>
        <v>25.96993495156875</v>
      </c>
      <c r="U14" s="10">
        <f>SUM('SwapDesk — Operations · Merchan'!U15,'SwapDesk — Operations · Merchan'!U16)</f>
        <v>26.78095577692457</v>
      </c>
      <c r="V14" s="10">
        <f>SUM('SwapDesk — Operations · Merchan'!V15,'SwapDesk — Operations · Merchan'!V16)</f>
        <v>27.570843600041655</v>
      </c>
      <c r="W14" s="10">
        <f>SUM('SwapDesk — Operations · Merchan'!W15,'SwapDesk — Operations · Merchan'!W16)</f>
        <v>28.340168458536738</v>
      </c>
      <c r="X14" s="10">
        <f>SUM('SwapDesk — Operations · Merchan'!X15,'SwapDesk — Operations · Merchan'!X16)</f>
        <v>29.089484567947036</v>
      </c>
      <c r="Y14" s="10">
        <f>SUM('SwapDesk — Operations · Merchan'!Y15,'SwapDesk — Operations · Merchan'!Y16)</f>
        <v>29.8193307708117</v>
      </c>
      <c r="Z14" s="10">
        <f>SUM('SwapDesk — Operations · Merchan'!Z15,'SwapDesk — Operations · Merchan'!Z16)</f>
        <v>30.53023097279236</v>
      </c>
    </row>
    <row r="15" outlineLevel="1">
      <c r="A15" t="inlineStr" s="16">
        <is>
          <t xml:space="preserve">Growing shop</t>
        </is>
      </c>
      <c r="B15" s="8">
        <f>2</f>
        <v>2</v>
      </c>
      <c r="C15" s="8">
        <f>'SwapDesk — Operations · Merchan'!C6+'SwapDesk — Operations · Merchan'!C9-'SwapDesk — Operations · Merchan'!C12</f>
        <v>2.46</v>
      </c>
      <c r="D15" s="8">
        <f>'SwapDesk — Operations · Merchan'!D6+'SwapDesk — Operations · Merchan'!D9-'SwapDesk — Operations · Merchan'!D12</f>
        <v>2.9108</v>
      </c>
      <c r="E15" s="8">
        <f>'SwapDesk — Operations · Merchan'!E6+'SwapDesk — Operations · Merchan'!E9-'SwapDesk — Operations · Merchan'!E12</f>
        <v>3.3525840000000002</v>
      </c>
      <c r="F15" s="8">
        <f>'SwapDesk — Operations · Merchan'!F6+'SwapDesk — Operations · Merchan'!F9-'SwapDesk — Operations · Merchan'!F12</f>
        <v>3.78553232</v>
      </c>
      <c r="G15" s="8">
        <f>'SwapDesk — Operations · Merchan'!G6+'SwapDesk — Operations · Merchan'!G9-'SwapDesk — Operations · Merchan'!G12</f>
        <v>4.2098216736</v>
      </c>
      <c r="H15" s="8">
        <f>'SwapDesk — Operations · Merchan'!H6+'SwapDesk — Operations · Merchan'!H9-'SwapDesk — Operations · Merchan'!H12</f>
        <v>4.625625240128</v>
      </c>
      <c r="I15" s="8">
        <f>'SwapDesk — Operations · Merchan'!I6+'SwapDesk — Operations · Merchan'!I9-'SwapDesk — Operations · Merchan'!I12</f>
        <v>5.03311273532544</v>
      </c>
      <c r="J15" s="8">
        <f>'SwapDesk — Operations · Merchan'!J6+'SwapDesk — Operations · Merchan'!J9-'SwapDesk — Operations · Merchan'!J12</f>
        <v>5.432450480618931</v>
      </c>
      <c r="K15" s="8">
        <f>'SwapDesk — Operations · Merchan'!K6+'SwapDesk — Operations · Merchan'!K9-'SwapDesk — Operations · Merchan'!K12</f>
        <v>5.823801471006552</v>
      </c>
      <c r="L15" s="8">
        <f>'SwapDesk — Operations · Merchan'!L6+'SwapDesk — Operations · Merchan'!L9-'SwapDesk — Operations · Merchan'!L12</f>
        <v>6.207325441586422</v>
      </c>
      <c r="M15" s="8">
        <f>'SwapDesk — Operations · Merchan'!M6+'SwapDesk — Operations · Merchan'!M9-'SwapDesk — Operations · Merchan'!M12</f>
        <v>6.583178932754693</v>
      </c>
      <c r="N15" s="8">
        <f>'SwapDesk — Operations · Merchan'!N6+'SwapDesk — Operations · Merchan'!N9-'SwapDesk — Operations · Merchan'!N12</f>
        <v>6.951515354099599</v>
      </c>
      <c r="O15" s="8">
        <f>'SwapDesk — Operations · Merchan'!O6+'SwapDesk — Operations · Merchan'!O9-'SwapDesk — Operations · Merchan'!O12</f>
        <v>7.312485047017607</v>
      </c>
      <c r="P15" s="8">
        <f>'SwapDesk — Operations · Merchan'!P6+'SwapDesk — Operations · Merchan'!P9-'SwapDesk — Operations · Merchan'!P12</f>
        <v>7.666235346077255</v>
      </c>
      <c r="Q15" s="8">
        <f>'SwapDesk — Operations · Merchan'!Q6+'SwapDesk — Operations · Merchan'!Q9-'SwapDesk — Operations · Merchan'!Q12</f>
        <v>8.01291063915571</v>
      </c>
      <c r="R15" s="8">
        <f>'SwapDesk — Operations · Merchan'!R6+'SwapDesk — Operations · Merchan'!R9-'SwapDesk — Operations · Merchan'!R12</f>
        <v>8.352652426372595</v>
      </c>
      <c r="S15" s="8">
        <f>'SwapDesk — Operations · Merchan'!S6+'SwapDesk — Operations · Merchan'!S9-'SwapDesk — Operations · Merchan'!S12</f>
        <v>8.685599377845143</v>
      </c>
      <c r="T15" s="8">
        <f>'SwapDesk — Operations · Merchan'!T6+'SwapDesk — Operations · Merchan'!T9-'SwapDesk — Operations · Merchan'!T12</f>
        <v>9.01188739028824</v>
      </c>
      <c r="U15" s="8">
        <f>'SwapDesk — Operations · Merchan'!U6+'SwapDesk — Operations · Merchan'!U9-'SwapDesk — Operations · Merchan'!U12</f>
        <v>9.331649642482477</v>
      </c>
      <c r="V15" s="8">
        <f>'SwapDesk — Operations · Merchan'!V6+'SwapDesk — Operations · Merchan'!V9-'SwapDesk — Operations · Merchan'!V12</f>
        <v>9.645016649632828</v>
      </c>
      <c r="W15" s="8">
        <f>'SwapDesk — Operations · Merchan'!W6+'SwapDesk — Operations · Merchan'!W9-'SwapDesk — Operations · Merchan'!W12</f>
        <v>9.95211631664017</v>
      </c>
      <c r="X15" s="8">
        <f>'SwapDesk — Operations · Merchan'!X6+'SwapDesk — Operations · Merchan'!X9-'SwapDesk — Operations · Merchan'!X12</f>
        <v>10.253073990307367</v>
      </c>
      <c r="Y15" s="8">
        <f>'SwapDesk — Operations · Merchan'!Y6+'SwapDesk — Operations · Merchan'!Y9-'SwapDesk — Operations · Merchan'!Y12</f>
        <v>10.54801251050122</v>
      </c>
      <c r="Z15" s="8">
        <f>'SwapDesk — Operations · Merchan'!Z6+'SwapDesk — Operations · Merchan'!Z9-'SwapDesk — Operations · Merchan'!Z12</f>
        <v>10.837052260291195</v>
      </c>
    </row>
    <row r="16" outlineLevel="1">
      <c r="A16" t="inlineStr" s="16">
        <is>
          <t xml:space="preserve">Small shop</t>
        </is>
      </c>
      <c r="B16" s="8">
        <f>5</f>
        <v>5</v>
      </c>
      <c r="C16" s="8">
        <f>'SwapDesk — Operations · Merchan'!C7+'SwapDesk — Operations · Merchan'!C10-'SwapDesk — Operations · Merchan'!C13</f>
        <v>5.85</v>
      </c>
      <c r="D16" s="8">
        <f>'SwapDesk — Operations · Merchan'!D7+'SwapDesk — Operations · Merchan'!D10-'SwapDesk — Operations · Merchan'!D13</f>
        <v>6.6745</v>
      </c>
      <c r="E16" s="8">
        <f>'SwapDesk — Operations · Merchan'!E7+'SwapDesk — Operations · Merchan'!E10-'SwapDesk — Operations · Merchan'!E13</f>
        <v>7.474265</v>
      </c>
      <c r="F16" s="8">
        <f>'SwapDesk — Operations · Merchan'!F7+'SwapDesk — Operations · Merchan'!F10-'SwapDesk — Operations · Merchan'!F13</f>
        <v>8.25003705</v>
      </c>
      <c r="G16" s="8">
        <f>'SwapDesk — Operations · Merchan'!G7+'SwapDesk — Operations · Merchan'!G10-'SwapDesk — Operations · Merchan'!G13</f>
        <v>9.0025359385</v>
      </c>
      <c r="H16" s="8">
        <f>'SwapDesk — Operations · Merchan'!H7+'SwapDesk — Operations · Merchan'!H10-'SwapDesk — Operations · Merchan'!H13</f>
        <v>9.732459860345</v>
      </c>
      <c r="I16" s="8">
        <f>'SwapDesk — Operations · Merchan'!I7+'SwapDesk — Operations · Merchan'!I10-'SwapDesk — Operations · Merchan'!I13</f>
        <v>10.44048606453465</v>
      </c>
      <c r="J16" s="8">
        <f>'SwapDesk — Operations · Merchan'!J7+'SwapDesk — Operations · Merchan'!J10-'SwapDesk — Operations · Merchan'!J13</f>
        <v>11.12727148259861</v>
      </c>
      <c r="K16" s="8">
        <f>'SwapDesk — Operations · Merchan'!K7+'SwapDesk — Operations · Merchan'!K10-'SwapDesk — Operations · Merchan'!K13</f>
        <v>11.793453338120653</v>
      </c>
      <c r="L16" s="8">
        <f>'SwapDesk — Operations · Merchan'!L7+'SwapDesk — Operations · Merchan'!L10-'SwapDesk — Operations · Merchan'!L13</f>
        <v>12.439649737977033</v>
      </c>
      <c r="M16" s="8">
        <f>'SwapDesk — Operations · Merchan'!M7+'SwapDesk — Operations · Merchan'!M10-'SwapDesk — Operations · Merchan'!M13</f>
        <v>13.066460245837723</v>
      </c>
      <c r="N16" s="8">
        <f>'SwapDesk — Operations · Merchan'!N7+'SwapDesk — Operations · Merchan'!N10-'SwapDesk — Operations · Merchan'!N13</f>
        <v>13.674466438462591</v>
      </c>
      <c r="O16" s="8">
        <f>'SwapDesk — Operations · Merchan'!O7+'SwapDesk — Operations · Merchan'!O10-'SwapDesk — Operations · Merchan'!O13</f>
        <v>14.264232445308714</v>
      </c>
      <c r="P16" s="8">
        <f>'SwapDesk — Operations · Merchan'!P7+'SwapDesk — Operations · Merchan'!P10-'SwapDesk — Operations · Merchan'!P13</f>
        <v>14.836305471949453</v>
      </c>
      <c r="Q16" s="8">
        <f>'SwapDesk — Operations · Merchan'!Q7+'SwapDesk — Operations · Merchan'!Q10-'SwapDesk — Operations · Merchan'!Q13</f>
        <v>15.39121630779097</v>
      </c>
      <c r="R16" s="8">
        <f>'SwapDesk — Operations · Merchan'!R7+'SwapDesk — Operations · Merchan'!R10-'SwapDesk — Operations · Merchan'!R13</f>
        <v>15.92947981855724</v>
      </c>
      <c r="S16" s="8">
        <f>'SwapDesk — Operations · Merchan'!S7+'SwapDesk — Operations · Merchan'!S10-'SwapDesk — Operations · Merchan'!S13</f>
        <v>16.451595424000523</v>
      </c>
      <c r="T16" s="8">
        <f>'SwapDesk — Operations · Merchan'!T7+'SwapDesk — Operations · Merchan'!T10-'SwapDesk — Operations · Merchan'!T13</f>
        <v>16.95804756128051</v>
      </c>
      <c r="U16" s="8">
        <f>'SwapDesk — Operations · Merchan'!U7+'SwapDesk — Operations · Merchan'!U10-'SwapDesk — Operations · Merchan'!U13</f>
        <v>17.449306134442093</v>
      </c>
      <c r="V16" s="8">
        <f>'SwapDesk — Operations · Merchan'!V7+'SwapDesk — Operations · Merchan'!V10-'SwapDesk — Operations · Merchan'!V13</f>
        <v>17.92582695040883</v>
      </c>
      <c r="W16" s="8">
        <f>'SwapDesk — Operations · Merchan'!W7+'SwapDesk — Operations · Merchan'!W10-'SwapDesk — Operations · Merchan'!W13</f>
        <v>18.388052141896566</v>
      </c>
      <c r="X16" s="8">
        <f>'SwapDesk — Operations · Merchan'!X7+'SwapDesk — Operations · Merchan'!X10-'SwapDesk — Operations · Merchan'!X13</f>
        <v>18.83641057763967</v>
      </c>
      <c r="Y16" s="8">
        <f>'SwapDesk — Operations · Merchan'!Y7+'SwapDesk — Operations · Merchan'!Y10-'SwapDesk — Operations · Merchan'!Y13</f>
        <v>19.27131826031048</v>
      </c>
      <c r="Z16" s="8">
        <f>'SwapDesk — Operations · Merchan'!Z7+'SwapDesk — Operations · Merchan'!Z10-'SwapDesk — Operations · Merchan'!Z13</f>
        <v>19.693178712501165</v>
      </c>
    </row>
    <row r="17">
      <c r="A17" t="inlineStr" s="5">
        <is>
          <t xml:space="preserve">Attempted cases</t>
        </is>
      </c>
      <c r="B17" s="10">
        <f>SUM('SwapDesk — Operations · Merchan'!B18,'SwapDesk — Operations · Merchan'!B19)</f>
        <v>0</v>
      </c>
      <c r="C17" s="10">
        <f>SUM('SwapDesk — Operations · Merchan'!C18,'SwapDesk — Operations · Merchan'!C19)</f>
        <v>1686</v>
      </c>
      <c r="D17" s="10">
        <f>SUM('SwapDesk — Operations · Merchan'!D18,'SwapDesk — Operations · Merchan'!D19)</f>
        <v>1965.26</v>
      </c>
      <c r="E17" s="10">
        <f>SUM('SwapDesk — Operations · Merchan'!E18,'SwapDesk — Operations · Merchan'!E19)</f>
        <v>2237.9454</v>
      </c>
      <c r="F17" s="10">
        <f>SUM('SwapDesk — Operations · Merchan'!F18,'SwapDesk — Operations · Merchan'!F19)</f>
        <v>2504.217374</v>
      </c>
      <c r="G17" s="10">
        <f>SUM('SwapDesk — Operations · Merchan'!G18,'SwapDesk — Operations · Merchan'!G19)</f>
        <v>2764.23298206</v>
      </c>
      <c r="H17" s="10">
        <f>SUM('SwapDesk — Operations · Merchan'!H18,'SwapDesk — Operations · Merchan'!H19)</f>
        <v>3018.1452792925998</v>
      </c>
      <c r="I17" s="10">
        <f>SUM('SwapDesk — Operations · Merchan'!I18,'SwapDesk — Operations · Merchan'!I19)</f>
        <v>3266.103421874334</v>
      </c>
      <c r="J17" s="10">
        <f>SUM('SwapDesk — Operations · Merchan'!J18,'SwapDesk — Operations · Merchan'!J19)</f>
        <v>3508.2527701594054</v>
      </c>
      <c r="K17" s="10">
        <f>SUM('SwapDesk — Operations · Merchan'!K18,'SwapDesk — Operations · Merchan'!K19)</f>
        <v>3744.7349889770994</v>
      </c>
      <c r="L17" s="10">
        <f>SUM('SwapDesk — Operations · Merchan'!L18,'SwapDesk — Operations · Merchan'!L19)</f>
        <v>3975.688145191813</v>
      </c>
      <c r="M17" s="10">
        <f>SUM('SwapDesk — Operations · Merchan'!M18,'SwapDesk — Operations · Merchan'!M19)</f>
        <v>4201.246802602404</v>
      </c>
      <c r="N17" s="10">
        <f>SUM('SwapDesk — Operations · Merchan'!N18,'SwapDesk — Operations · Merchan'!N19)</f>
        <v>4421.5421142553505</v>
      </c>
      <c r="O17" s="10">
        <f>SUM('SwapDesk — Operations · Merchan'!O18,'SwapDesk — Operations · Merchan'!O19)</f>
        <v>4636.701912244089</v>
      </c>
      <c r="P17" s="10">
        <f>SUM('SwapDesk — Operations · Merchan'!P18,'SwapDesk — Operations · Merchan'!P19)</f>
        <v>4846.850795064836</v>
      </c>
      <c r="Q17" s="10">
        <f>SUM('SwapDesk — Operations · Merchan'!Q18,'SwapDesk — Operations · Merchan'!Q19)</f>
        <v>5052.1102125972</v>
      </c>
      <c r="R17" s="10">
        <f>SUM('SwapDesk — Operations · Merchan'!R18,'SwapDesk — Operations · Merchan'!R19)</f>
        <v>5252.598548775906</v>
      </c>
      <c r="S17" s="10">
        <f>SUM('SwapDesk — Operations · Merchan'!S18,'SwapDesk — Operations · Merchan'!S19)</f>
        <v>5448.4312020181205</v>
      </c>
      <c r="T17" s="10">
        <f>SUM('SwapDesk — Operations · Merchan'!T18,'SwapDesk — Operations · Merchan'!T19)</f>
        <v>5639.720663468957</v>
      </c>
      <c r="U17" s="10">
        <f>SUM('SwapDesk — Operations · Merchan'!U18,'SwapDesk — Operations · Merchan'!U19)</f>
        <v>5826.576593126041</v>
      </c>
      <c r="V17" s="10">
        <f>SUM('SwapDesk — Operations · Merchan'!V18,'SwapDesk — Operations · Merchan'!V19)</f>
        <v>6009.105893902191</v>
      </c>
      <c r="W17" s="10">
        <f>SUM('SwapDesk — Operations · Merchan'!W18,'SwapDesk — Operations · Merchan'!W19)</f>
        <v>6187.412783683656</v>
      </c>
      <c r="X17" s="10">
        <f>SUM('SwapDesk — Operations · Merchan'!X18,'SwapDesk — Operations · Merchan'!X19)</f>
        <v>6361.598865439707</v>
      </c>
      <c r="Y17" s="10">
        <f>SUM('SwapDesk — Operations · Merchan'!Y18,'SwapDesk — Operations · Merchan'!Y19)</f>
        <v>6531.763195437745</v>
      </c>
      <c r="Z17" s="10">
        <f>SUM('SwapDesk — Operations · Merchan'!Z18,'SwapDesk — Operations · Merchan'!Z19)</f>
        <v>6698.002349616618</v>
      </c>
    </row>
    <row r="18" outlineLevel="1">
      <c r="A18" t="inlineStr" s="16">
        <is>
          <t xml:space="preserve">Growing shop</t>
        </is>
      </c>
      <c r="B18" s="8">
        <f>0</f>
        <v>0</v>
      </c>
      <c r="C18" s="8">
        <f>'SwapDesk — Operations · Merchan'!C15*'SwapDesk — Assumptions · Mercha'!D5</f>
        <v>984</v>
      </c>
      <c r="D18" s="8">
        <f>'SwapDesk — Operations · Merchan'!D15*'SwapDesk — Assumptions · Mercha'!D5</f>
        <v>1164.32</v>
      </c>
      <c r="E18" s="8">
        <f>'SwapDesk — Operations · Merchan'!E15*'SwapDesk — Assumptions · Mercha'!D5</f>
        <v>1341.0336000000002</v>
      </c>
      <c r="F18" s="8">
        <f>'SwapDesk — Operations · Merchan'!F15*'SwapDesk — Assumptions · Mercha'!D5</f>
        <v>1514.2129280000001</v>
      </c>
      <c r="G18" s="8">
        <f>'SwapDesk — Operations · Merchan'!G15*'SwapDesk — Assumptions · Mercha'!D5</f>
        <v>1683.9286694399998</v>
      </c>
      <c r="H18" s="8">
        <f>'SwapDesk — Operations · Merchan'!H15*'SwapDesk — Assumptions · Mercha'!D5</f>
        <v>1850.2500960511998</v>
      </c>
      <c r="I18" s="8">
        <f>'SwapDesk — Operations · Merchan'!I15*'SwapDesk — Assumptions · Mercha'!D5</f>
        <v>2013.2450941301759</v>
      </c>
      <c r="J18" s="8">
        <f>'SwapDesk — Operations · Merchan'!J15*'SwapDesk — Assumptions · Mercha'!D5</f>
        <v>2172.980192247572</v>
      </c>
      <c r="K18" s="8">
        <f>'SwapDesk — Operations · Merchan'!K15*'SwapDesk — Assumptions · Mercha'!D5</f>
        <v>2329.520588402621</v>
      </c>
      <c r="L18" s="8">
        <f>'SwapDesk — Operations · Merchan'!L15*'SwapDesk — Assumptions · Mercha'!D5</f>
        <v>2482.930176634569</v>
      </c>
      <c r="M18" s="8">
        <f>'SwapDesk — Operations · Merchan'!M15*'SwapDesk — Assumptions · Mercha'!D5</f>
        <v>2633.2715731018775</v>
      </c>
      <c r="N18" s="8">
        <f>'SwapDesk — Operations · Merchan'!N15*'SwapDesk — Assumptions · Mercha'!D5</f>
        <v>2780.6061416398397</v>
      </c>
      <c r="O18" s="8">
        <f>'SwapDesk — Operations · Merchan'!O15*'SwapDesk — Assumptions · Mercha'!D5</f>
        <v>2924.9940188070427</v>
      </c>
      <c r="P18" s="8">
        <f>'SwapDesk — Operations · Merchan'!P15*'SwapDesk — Assumptions · Mercha'!D5</f>
        <v>3066.4941384309022</v>
      </c>
      <c r="Q18" s="8">
        <f>'SwapDesk — Operations · Merchan'!Q15*'SwapDesk — Assumptions · Mercha'!D5</f>
        <v>3205.1642556622837</v>
      </c>
      <c r="R18" s="8">
        <f>'SwapDesk — Operations · Merchan'!R15*'SwapDesk — Assumptions · Mercha'!D5</f>
        <v>3341.060970549038</v>
      </c>
      <c r="S18" s="8">
        <f>'SwapDesk — Operations · Merchan'!S15*'SwapDesk — Assumptions · Mercha'!D5</f>
        <v>3474.2397511380573</v>
      </c>
      <c r="T18" s="8">
        <f>'SwapDesk — Operations · Merchan'!T15*'SwapDesk — Assumptions · Mercha'!D5</f>
        <v>3604.7549561152964</v>
      </c>
      <c r="U18" s="8">
        <f>'SwapDesk — Operations · Merchan'!U15*'SwapDesk — Assumptions · Mercha'!D5</f>
        <v>3732.6598569929906</v>
      </c>
      <c r="V18" s="8">
        <f>'SwapDesk — Operations · Merchan'!V15*'SwapDesk — Assumptions · Mercha'!D5</f>
        <v>3858.006659853131</v>
      </c>
      <c r="W18" s="8">
        <f>'SwapDesk — Operations · Merchan'!W15*'SwapDesk — Assumptions · Mercha'!D5</f>
        <v>3980.846526656068</v>
      </c>
      <c r="X18" s="8">
        <f>'SwapDesk — Operations · Merchan'!X15*'SwapDesk — Assumptions · Mercha'!D5</f>
        <v>4101.2295961229465</v>
      </c>
      <c r="Y18" s="8">
        <f>'SwapDesk — Operations · Merchan'!Y15*'SwapDesk — Assumptions · Mercha'!D5</f>
        <v>4219.205004200488</v>
      </c>
      <c r="Z18" s="8">
        <f>'SwapDesk — Operations · Merchan'!Z15*'SwapDesk — Assumptions · Mercha'!D5</f>
        <v>4334.820904116478</v>
      </c>
    </row>
    <row r="19" outlineLevel="1">
      <c r="A19" t="inlineStr" s="16">
        <is>
          <t xml:space="preserve">Small shop</t>
        </is>
      </c>
      <c r="B19" s="8">
        <f>0</f>
        <v>0</v>
      </c>
      <c r="C19" s="8">
        <f>'SwapDesk — Operations · Merchan'!C16*'SwapDesk — Assumptions · Mercha'!D6</f>
        <v>702</v>
      </c>
      <c r="D19" s="8">
        <f>'SwapDesk — Operations · Merchan'!D16*'SwapDesk — Assumptions · Mercha'!D6</f>
        <v>800.94</v>
      </c>
      <c r="E19" s="8">
        <f>'SwapDesk — Operations · Merchan'!E16*'SwapDesk — Assumptions · Mercha'!D6</f>
        <v>896.9118</v>
      </c>
      <c r="F19" s="8">
        <f>'SwapDesk — Operations · Merchan'!F16*'SwapDesk — Assumptions · Mercha'!D6</f>
        <v>990.0044459999999</v>
      </c>
      <c r="G19" s="8">
        <f>'SwapDesk — Operations · Merchan'!G16*'SwapDesk — Assumptions · Mercha'!D6</f>
        <v>1080.30431262</v>
      </c>
      <c r="H19" s="8">
        <f>'SwapDesk — Operations · Merchan'!H16*'SwapDesk — Assumptions · Mercha'!D6</f>
        <v>1167.8951832414</v>
      </c>
      <c r="I19" s="8">
        <f>'SwapDesk — Operations · Merchan'!I16*'SwapDesk — Assumptions · Mercha'!D6</f>
        <v>1252.858327744158</v>
      </c>
      <c r="J19" s="8">
        <f>'SwapDesk — Operations · Merchan'!J16*'SwapDesk — Assumptions · Mercha'!D6</f>
        <v>1335.2725779118332</v>
      </c>
      <c r="K19" s="8">
        <f>'SwapDesk — Operations · Merchan'!K16*'SwapDesk — Assumptions · Mercha'!D6</f>
        <v>1415.2144005744783</v>
      </c>
      <c r="L19" s="8">
        <f>'SwapDesk — Operations · Merchan'!L16*'SwapDesk — Assumptions · Mercha'!D6</f>
        <v>1492.757968557244</v>
      </c>
      <c r="M19" s="8">
        <f>'SwapDesk — Operations · Merchan'!M16*'SwapDesk — Assumptions · Mercha'!D6</f>
        <v>1567.9752295005267</v>
      </c>
      <c r="N19" s="8">
        <f>'SwapDesk — Operations · Merchan'!N16*'SwapDesk — Assumptions · Mercha'!D6</f>
        <v>1640.935972615511</v>
      </c>
      <c r="O19" s="8">
        <f>'SwapDesk — Operations · Merchan'!O16*'SwapDesk — Assumptions · Mercha'!D6</f>
        <v>1711.7078934370456</v>
      </c>
      <c r="P19" s="8">
        <f>'SwapDesk — Operations · Merchan'!P16*'SwapDesk — Assumptions · Mercha'!D6</f>
        <v>1780.3566566339343</v>
      </c>
      <c r="Q19" s="8">
        <f>'SwapDesk — Operations · Merchan'!Q16*'SwapDesk — Assumptions · Mercha'!D6</f>
        <v>1846.9459569349165</v>
      </c>
      <c r="R19" s="8">
        <f>'SwapDesk — Operations · Merchan'!R16*'SwapDesk — Assumptions · Mercha'!D6</f>
        <v>1911.5375782268688</v>
      </c>
      <c r="S19" s="8">
        <f>'SwapDesk — Operations · Merchan'!S16*'SwapDesk — Assumptions · Mercha'!D6</f>
        <v>1974.1914508800628</v>
      </c>
      <c r="T19" s="8">
        <f>'SwapDesk — Operations · Merchan'!T16*'SwapDesk — Assumptions · Mercha'!D6</f>
        <v>2034.965707353661</v>
      </c>
      <c r="U19" s="8">
        <f>'SwapDesk — Operations · Merchan'!U16*'SwapDesk — Assumptions · Mercha'!D6</f>
        <v>2093.916736133051</v>
      </c>
      <c r="V19" s="8">
        <f>'SwapDesk — Operations · Merchan'!V16*'SwapDesk — Assumptions · Mercha'!D6</f>
        <v>2151.0992340490598</v>
      </c>
      <c r="W19" s="8">
        <f>'SwapDesk — Operations · Merchan'!W16*'SwapDesk — Assumptions · Mercha'!D6</f>
        <v>2206.566257027588</v>
      </c>
      <c r="X19" s="8">
        <f>'SwapDesk — Operations · Merchan'!X16*'SwapDesk — Assumptions · Mercha'!D6</f>
        <v>2260.3692693167604</v>
      </c>
      <c r="Y19" s="8">
        <f>'SwapDesk — Operations · Merchan'!Y16*'SwapDesk — Assumptions · Mercha'!D6</f>
        <v>2312.5581912372577</v>
      </c>
      <c r="Z19" s="8">
        <f>'SwapDesk — Operations · Merchan'!Z16*'SwapDesk — Assumptions · Mercha'!D6</f>
        <v>2363.18144550014</v>
      </c>
    </row>
    <row r="20">
      <c r="A20" t="inlineStr" s="5">
        <is>
          <t xml:space="preserve">Verified arrangements</t>
        </is>
      </c>
      <c r="B20" s="10">
        <f>SUM('SwapDesk — Operations · Merchan'!B21,'SwapDesk — Operations · Merchan'!B22)</f>
        <v>0</v>
      </c>
      <c r="C20" s="10">
        <f>SUM('SwapDesk — Operations · Merchan'!C21,'SwapDesk — Operations · Merchan'!C22)</f>
        <v>1095.9</v>
      </c>
      <c r="D20" s="10">
        <f>SUM('SwapDesk — Operations · Merchan'!D21,'SwapDesk — Operations · Merchan'!D22)</f>
        <v>1277.419</v>
      </c>
      <c r="E20" s="10">
        <f>SUM('SwapDesk — Operations · Merchan'!E21,'SwapDesk — Operations · Merchan'!E22)</f>
        <v>1454.66451</v>
      </c>
      <c r="F20" s="10">
        <f>SUM('SwapDesk — Operations · Merchan'!F21,'SwapDesk — Operations · Merchan'!F22)</f>
        <v>1627.7412931000001</v>
      </c>
      <c r="G20" s="10">
        <f>SUM('SwapDesk — Operations · Merchan'!G21,'SwapDesk — Operations · Merchan'!G22)</f>
        <v>1796.7514383389998</v>
      </c>
      <c r="H20" s="10">
        <f>SUM('SwapDesk — Operations · Merchan'!H21,'SwapDesk — Operations · Merchan'!H22)</f>
        <v>1961.7944315401899</v>
      </c>
      <c r="I20" s="10">
        <f>SUM('SwapDesk — Operations · Merchan'!I21,'SwapDesk — Operations · Merchan'!I22)</f>
        <v>2122.967224218317</v>
      </c>
      <c r="J20" s="10">
        <f>SUM('SwapDesk — Operations · Merchan'!J21,'SwapDesk — Operations · Merchan'!J22)</f>
        <v>2280.3643006036136</v>
      </c>
      <c r="K20" s="10">
        <f>SUM('SwapDesk — Operations · Merchan'!K21,'SwapDesk — Operations · Merchan'!K22)</f>
        <v>2434.077742835115</v>
      </c>
      <c r="L20" s="10">
        <f>SUM('SwapDesk — Operations · Merchan'!L21,'SwapDesk — Operations · Merchan'!L22)</f>
        <v>2584.1972943746787</v>
      </c>
      <c r="M20" s="10">
        <f>SUM('SwapDesk — Operations · Merchan'!M21,'SwapDesk — Operations · Merchan'!M22)</f>
        <v>2730.8104216915626</v>
      </c>
      <c r="N20" s="10">
        <f>SUM('SwapDesk — Operations · Merchan'!N21,'SwapDesk — Operations · Merchan'!N22)</f>
        <v>2874.002374265978</v>
      </c>
      <c r="O20" s="10">
        <f>SUM('SwapDesk — Operations · Merchan'!O21,'SwapDesk — Operations · Merchan'!O22)</f>
        <v>3013.8562429586577</v>
      </c>
      <c r="P20" s="10">
        <f>SUM('SwapDesk — Operations · Merchan'!P21,'SwapDesk — Operations · Merchan'!P22)</f>
        <v>3150.453016792144</v>
      </c>
      <c r="Q20" s="10">
        <f>SUM('SwapDesk — Operations · Merchan'!Q21,'SwapDesk — Operations · Merchan'!Q22)</f>
        <v>3283.8716381881804</v>
      </c>
      <c r="R20" s="10">
        <f>SUM('SwapDesk — Operations · Merchan'!R21,'SwapDesk — Operations · Merchan'!R22)</f>
        <v>3414.1890567043397</v>
      </c>
      <c r="S20" s="10">
        <f>SUM('SwapDesk — Operations · Merchan'!S21,'SwapDesk — Operations · Merchan'!S22)</f>
        <v>3541.4802813117785</v>
      </c>
      <c r="T20" s="10">
        <f>SUM('SwapDesk — Operations · Merchan'!T21,'SwapDesk — Operations · Merchan'!T22)</f>
        <v>3665.8184312548224</v>
      </c>
      <c r="U20" s="10">
        <f>SUM('SwapDesk — Operations · Merchan'!U21,'SwapDesk — Operations · Merchan'!U22)</f>
        <v>3787.274785531927</v>
      </c>
      <c r="V20" s="10">
        <f>SUM('SwapDesk — Operations · Merchan'!V21,'SwapDesk — Operations · Merchan'!V22)</f>
        <v>3905.9188310364243</v>
      </c>
      <c r="W20" s="10">
        <f>SUM('SwapDesk — Operations · Merchan'!W21,'SwapDesk — Operations · Merchan'!W22)</f>
        <v>4021.8183093943767</v>
      </c>
      <c r="X20" s="10">
        <f>SUM('SwapDesk — Operations · Merchan'!X21,'SwapDesk — Operations · Merchan'!X22)</f>
        <v>4135.03926253581</v>
      </c>
      <c r="Y20" s="10">
        <f>SUM('SwapDesk — Operations · Merchan'!Y21,'SwapDesk — Operations · Merchan'!Y22)</f>
        <v>4245.646077034535</v>
      </c>
      <c r="Z20" s="10">
        <f>SUM('SwapDesk — Operations · Merchan'!Z21,'SwapDesk — Operations · Merchan'!Z22)</f>
        <v>4353.701527250802</v>
      </c>
    </row>
    <row r="21" outlineLevel="1">
      <c r="A21" t="inlineStr" s="16">
        <is>
          <t xml:space="preserve">Growing shop</t>
        </is>
      </c>
      <c r="B21" s="8">
        <f>0</f>
        <v>0</v>
      </c>
      <c r="C21" s="8">
        <f>'SwapDesk — Operations · Merchan'!C18*'SwapDesk — Assumptions · Mercha'!E5</f>
        <v>639.6</v>
      </c>
      <c r="D21" s="8">
        <f>'SwapDesk — Operations · Merchan'!D18*'SwapDesk — Assumptions · Mercha'!E5</f>
        <v>756.808</v>
      </c>
      <c r="E21" s="8">
        <f>'SwapDesk — Operations · Merchan'!E18*'SwapDesk — Assumptions · Mercha'!E5</f>
        <v>871.6718400000002</v>
      </c>
      <c r="F21" s="8">
        <f>'SwapDesk — Operations · Merchan'!F18*'SwapDesk — Assumptions · Mercha'!E5</f>
        <v>984.2384032000001</v>
      </c>
      <c r="G21" s="8">
        <f>'SwapDesk — Operations · Merchan'!G18*'SwapDesk — Assumptions · Mercha'!E5</f>
        <v>1094.553635136</v>
      </c>
      <c r="H21" s="8">
        <f>'SwapDesk — Operations · Merchan'!H18*'SwapDesk — Assumptions · Mercha'!E5</f>
        <v>1202.6625624332798</v>
      </c>
      <c r="I21" s="8">
        <f>'SwapDesk — Operations · Merchan'!I18*'SwapDesk — Assumptions · Mercha'!E5</f>
        <v>1308.6093111846144</v>
      </c>
      <c r="J21" s="8">
        <f>'SwapDesk — Operations · Merchan'!J18*'SwapDesk — Assumptions · Mercha'!E5</f>
        <v>1412.437124960922</v>
      </c>
      <c r="K21" s="8">
        <f>'SwapDesk — Operations · Merchan'!K18*'SwapDesk — Assumptions · Mercha'!E5</f>
        <v>1514.1883824617037</v>
      </c>
      <c r="L21" s="8">
        <f>'SwapDesk — Operations · Merchan'!L18*'SwapDesk — Assumptions · Mercha'!E5</f>
        <v>1613.9046148124698</v>
      </c>
      <c r="M21" s="8">
        <f>'SwapDesk — Operations · Merchan'!M18*'SwapDesk — Assumptions · Mercha'!E5</f>
        <v>1711.6265225162203</v>
      </c>
      <c r="N21" s="8">
        <f>'SwapDesk — Operations · Merchan'!N18*'SwapDesk — Assumptions · Mercha'!E5</f>
        <v>1807.3939920658959</v>
      </c>
      <c r="O21" s="8">
        <f>'SwapDesk — Operations · Merchan'!O18*'SwapDesk — Assumptions · Mercha'!E5</f>
        <v>1901.246112224578</v>
      </c>
      <c r="P21" s="8">
        <f>'SwapDesk — Operations · Merchan'!P18*'SwapDesk — Assumptions · Mercha'!E5</f>
        <v>1993.2211899800866</v>
      </c>
      <c r="Q21" s="8">
        <f>'SwapDesk — Operations · Merchan'!Q18*'SwapDesk — Assumptions · Mercha'!E5</f>
        <v>2083.3567661804846</v>
      </c>
      <c r="R21" s="8">
        <f>'SwapDesk — Operations · Merchan'!R18*'SwapDesk — Assumptions · Mercha'!E5</f>
        <v>2171.689630856875</v>
      </c>
      <c r="S21" s="8">
        <f>'SwapDesk — Operations · Merchan'!S18*'SwapDesk — Assumptions · Mercha'!E5</f>
        <v>2258.2558382397374</v>
      </c>
      <c r="T21" s="8">
        <f>'SwapDesk — Operations · Merchan'!T18*'SwapDesk — Assumptions · Mercha'!E5</f>
        <v>2343.0907214749427</v>
      </c>
      <c r="U21" s="8">
        <f>'SwapDesk — Operations · Merchan'!U18*'SwapDesk — Assumptions · Mercha'!E5</f>
        <v>2426.228907045444</v>
      </c>
      <c r="V21" s="8">
        <f>'SwapDesk — Operations · Merchan'!V18*'SwapDesk — Assumptions · Mercha'!E5</f>
        <v>2507.7043289045355</v>
      </c>
      <c r="W21" s="8">
        <f>'SwapDesk — Operations · Merchan'!W18*'SwapDesk — Assumptions · Mercha'!E5</f>
        <v>2587.5502423264443</v>
      </c>
      <c r="X21" s="8">
        <f>'SwapDesk — Operations · Merchan'!X18*'SwapDesk — Assumptions · Mercha'!E5</f>
        <v>2665.7992374799155</v>
      </c>
      <c r="Y21" s="8">
        <f>'SwapDesk — Operations · Merchan'!Y18*'SwapDesk — Assumptions · Mercha'!E5</f>
        <v>2742.483252730317</v>
      </c>
      <c r="Z21" s="8">
        <f>'SwapDesk — Operations · Merchan'!Z18*'SwapDesk — Assumptions · Mercha'!E5</f>
        <v>2817.633587675711</v>
      </c>
    </row>
    <row r="22" outlineLevel="1">
      <c r="A22" t="inlineStr" s="16">
        <is>
          <t xml:space="preserve">Small shop</t>
        </is>
      </c>
      <c r="B22" s="8">
        <f>0</f>
        <v>0</v>
      </c>
      <c r="C22" s="8">
        <f>'SwapDesk — Operations · Merchan'!C19*'SwapDesk — Assumptions · Mercha'!E6</f>
        <v>456.3</v>
      </c>
      <c r="D22" s="8">
        <f>'SwapDesk — Operations · Merchan'!D19*'SwapDesk — Assumptions · Mercha'!E6</f>
        <v>520.6110000000001</v>
      </c>
      <c r="E22" s="8">
        <f>'SwapDesk — Operations · Merchan'!E19*'SwapDesk — Assumptions · Mercha'!E6</f>
        <v>582.99267</v>
      </c>
      <c r="F22" s="8">
        <f>'SwapDesk — Operations · Merchan'!F19*'SwapDesk — Assumptions · Mercha'!E6</f>
        <v>643.5028899</v>
      </c>
      <c r="G22" s="8">
        <f>'SwapDesk — Operations · Merchan'!G19*'SwapDesk — Assumptions · Mercha'!E6</f>
        <v>702.197803203</v>
      </c>
      <c r="H22" s="8">
        <f>'SwapDesk — Operations · Merchan'!H19*'SwapDesk — Assumptions · Mercha'!E6</f>
        <v>759.13186910691</v>
      </c>
      <c r="I22" s="8">
        <f>'SwapDesk — Operations · Merchan'!I19*'SwapDesk — Assumptions · Mercha'!E6</f>
        <v>814.3579130337027</v>
      </c>
      <c r="J22" s="8">
        <f>'SwapDesk — Operations · Merchan'!J19*'SwapDesk — Assumptions · Mercha'!E6</f>
        <v>867.9271756426916</v>
      </c>
      <c r="K22" s="8">
        <f>'SwapDesk — Operations · Merchan'!K19*'SwapDesk — Assumptions · Mercha'!E6</f>
        <v>919.8893603734109</v>
      </c>
      <c r="L22" s="8">
        <f>'SwapDesk — Operations · Merchan'!L19*'SwapDesk — Assumptions · Mercha'!E6</f>
        <v>970.2926795622087</v>
      </c>
      <c r="M22" s="8">
        <f>'SwapDesk — Operations · Merchan'!M19*'SwapDesk — Assumptions · Mercha'!E6</f>
        <v>1019.1838991753424</v>
      </c>
      <c r="N22" s="8">
        <f>'SwapDesk — Operations · Merchan'!N19*'SwapDesk — Assumptions · Mercha'!E6</f>
        <v>1066.6083822000821</v>
      </c>
      <c r="O22" s="8">
        <f>'SwapDesk — Operations · Merchan'!O19*'SwapDesk — Assumptions · Mercha'!E6</f>
        <v>1112.6101307340798</v>
      </c>
      <c r="P22" s="8">
        <f>'SwapDesk — Operations · Merchan'!P19*'SwapDesk — Assumptions · Mercha'!E6</f>
        <v>1157.2318268120573</v>
      </c>
      <c r="Q22" s="8">
        <f>'SwapDesk — Operations · Merchan'!Q19*'SwapDesk — Assumptions · Mercha'!E6</f>
        <v>1200.5148720076957</v>
      </c>
      <c r="R22" s="8">
        <f>'SwapDesk — Operations · Merchan'!R19*'SwapDesk — Assumptions · Mercha'!E6</f>
        <v>1242.4994258474649</v>
      </c>
      <c r="S22" s="8">
        <f>'SwapDesk — Operations · Merchan'!S19*'SwapDesk — Assumptions · Mercha'!E6</f>
        <v>1283.224443072041</v>
      </c>
      <c r="T22" s="8">
        <f>'SwapDesk — Operations · Merchan'!T19*'SwapDesk — Assumptions · Mercha'!E6</f>
        <v>1322.7277097798797</v>
      </c>
      <c r="U22" s="8">
        <f>'SwapDesk — Operations · Merchan'!U19*'SwapDesk — Assumptions · Mercha'!E6</f>
        <v>1361.0458784864832</v>
      </c>
      <c r="V22" s="8">
        <f>'SwapDesk — Operations · Merchan'!V19*'SwapDesk — Assumptions · Mercha'!E6</f>
        <v>1398.2145021318888</v>
      </c>
      <c r="W22" s="8">
        <f>'SwapDesk — Operations · Merchan'!W19*'SwapDesk — Assumptions · Mercha'!E6</f>
        <v>1434.2680670679324</v>
      </c>
      <c r="X22" s="8">
        <f>'SwapDesk — Operations · Merchan'!X19*'SwapDesk — Assumptions · Mercha'!E6</f>
        <v>1469.2400250558944</v>
      </c>
      <c r="Y22" s="8">
        <f>'SwapDesk — Operations · Merchan'!Y19*'SwapDesk — Assumptions · Mercha'!E6</f>
        <v>1503.1628243042176</v>
      </c>
      <c r="Z22" s="8">
        <f>'SwapDesk — Operations · Merchan'!Z19*'SwapDesk — Assumptions · Mercha'!E6</f>
        <v>1536.067939575091</v>
      </c>
    </row>
    <row r="23">
      <c r="A23" t="inlineStr" s="5">
        <is>
          <t xml:space="preserve">Nonbillable cases</t>
        </is>
      </c>
      <c r="B23" s="10">
        <f>SUM('SwapDesk — Operations · Merchan'!B24,'SwapDesk — Operations · Merchan'!B25)</f>
        <v>0</v>
      </c>
      <c r="C23" s="10">
        <f>SUM('SwapDesk — Operations · Merchan'!C24,'SwapDesk — Operations · Merchan'!C25)</f>
        <v>590.0999999999999</v>
      </c>
      <c r="D23" s="10">
        <f>SUM('SwapDesk — Operations · Merchan'!D24,'SwapDesk — Operations · Merchan'!D25)</f>
        <v>687.8409999999999</v>
      </c>
      <c r="E23" s="10">
        <f>SUM('SwapDesk — Operations · Merchan'!E24,'SwapDesk — Operations · Merchan'!E25)</f>
        <v>783.28089</v>
      </c>
      <c r="F23" s="10">
        <f>SUM('SwapDesk — Operations · Merchan'!F24,'SwapDesk — Operations · Merchan'!F25)</f>
        <v>876.4760808999999</v>
      </c>
      <c r="G23" s="10">
        <f>SUM('SwapDesk — Operations · Merchan'!G24,'SwapDesk — Operations · Merchan'!G25)</f>
        <v>967.4815437209999</v>
      </c>
      <c r="H23" s="10">
        <f>SUM('SwapDesk — Operations · Merchan'!H24,'SwapDesk — Operations · Merchan'!H25)</f>
        <v>1056.35084775241</v>
      </c>
      <c r="I23" s="10">
        <f>SUM('SwapDesk — Operations · Merchan'!I24,'SwapDesk — Operations · Merchan'!I25)</f>
        <v>1143.1361976560167</v>
      </c>
      <c r="J23" s="10">
        <f>SUM('SwapDesk — Operations · Merchan'!J24,'SwapDesk — Operations · Merchan'!J25)</f>
        <v>1227.8884695557917</v>
      </c>
      <c r="K23" s="10">
        <f>SUM('SwapDesk — Operations · Merchan'!K24,'SwapDesk — Operations · Merchan'!K25)</f>
        <v>1310.6572461419846</v>
      </c>
      <c r="L23" s="10">
        <f>SUM('SwapDesk — Operations · Merchan'!L24,'SwapDesk — Operations · Merchan'!L25)</f>
        <v>1391.4908508171343</v>
      </c>
      <c r="M23" s="10">
        <f>SUM('SwapDesk — Operations · Merchan'!M24,'SwapDesk — Operations · Merchan'!M25)</f>
        <v>1470.4363809108413</v>
      </c>
      <c r="N23" s="10">
        <f>SUM('SwapDesk — Operations · Merchan'!N24,'SwapDesk — Operations · Merchan'!N25)</f>
        <v>1547.5397399893727</v>
      </c>
      <c r="O23" s="10">
        <f>SUM('SwapDesk — Operations · Merchan'!O24,'SwapDesk — Operations · Merchan'!O25)</f>
        <v>1622.8456692854306</v>
      </c>
      <c r="P23" s="10">
        <f>SUM('SwapDesk — Operations · Merchan'!P24,'SwapDesk — Operations · Merchan'!P25)</f>
        <v>1696.3977782726927</v>
      </c>
      <c r="Q23" s="10">
        <f>SUM('SwapDesk — Operations · Merchan'!Q24,'SwapDesk — Operations · Merchan'!Q25)</f>
        <v>1768.23857440902</v>
      </c>
      <c r="R23" s="10">
        <f>SUM('SwapDesk — Operations · Merchan'!R24,'SwapDesk — Operations · Merchan'!R25)</f>
        <v>1838.409492071567</v>
      </c>
      <c r="S23" s="10">
        <f>SUM('SwapDesk — Operations · Merchan'!S24,'SwapDesk — Operations · Merchan'!S25)</f>
        <v>1906.9509207063418</v>
      </c>
      <c r="T23" s="10">
        <f>SUM('SwapDesk — Operations · Merchan'!T24,'SwapDesk — Operations · Merchan'!T25)</f>
        <v>1973.902232214135</v>
      </c>
      <c r="U23" s="10">
        <f>SUM('SwapDesk — Operations · Merchan'!U24,'SwapDesk — Operations · Merchan'!U25)</f>
        <v>2039.3018075941145</v>
      </c>
      <c r="V23" s="10">
        <f>SUM('SwapDesk — Operations · Merchan'!V24,'SwapDesk — Operations · Merchan'!V25)</f>
        <v>2103.1870628657666</v>
      </c>
      <c r="W23" s="10">
        <f>SUM('SwapDesk — Operations · Merchan'!W24,'SwapDesk — Operations · Merchan'!W25)</f>
        <v>2165.5944742892793</v>
      </c>
      <c r="X23" s="10">
        <f>SUM('SwapDesk — Operations · Merchan'!X24,'SwapDesk — Operations · Merchan'!X25)</f>
        <v>2226.559602903897</v>
      </c>
      <c r="Y23" s="10">
        <f>SUM('SwapDesk — Operations · Merchan'!Y24,'SwapDesk — Operations · Merchan'!Y25)</f>
        <v>2286.117118403211</v>
      </c>
      <c r="Z23" s="10">
        <f>SUM('SwapDesk — Operations · Merchan'!Z24,'SwapDesk — Operations · Merchan'!Z25)</f>
        <v>2344.300822365816</v>
      </c>
    </row>
    <row r="24" outlineLevel="1">
      <c r="A24" t="inlineStr" s="16">
        <is>
          <t xml:space="preserve">Growing shop</t>
        </is>
      </c>
      <c r="B24" s="8">
        <f>0</f>
        <v>0</v>
      </c>
      <c r="C24" s="8">
        <f>'SwapDesk — Operations · Merchan'!C18-'SwapDesk — Operations · Merchan'!C21</f>
        <v>344.4</v>
      </c>
      <c r="D24" s="8">
        <f>'SwapDesk — Operations · Merchan'!D18-'SwapDesk — Operations · Merchan'!D21</f>
        <v>407.51199999999994</v>
      </c>
      <c r="E24" s="8">
        <f>'SwapDesk — Operations · Merchan'!E18-'SwapDesk — Operations · Merchan'!E21</f>
        <v>469.36176</v>
      </c>
      <c r="F24" s="8">
        <f>'SwapDesk — Operations · Merchan'!F18-'SwapDesk — Operations · Merchan'!F21</f>
        <v>529.9745248</v>
      </c>
      <c r="G24" s="8">
        <f>'SwapDesk — Operations · Merchan'!G18-'SwapDesk — Operations · Merchan'!G21</f>
        <v>589.3750343039999</v>
      </c>
      <c r="H24" s="8">
        <f>'SwapDesk — Operations · Merchan'!H18-'SwapDesk — Operations · Merchan'!H21</f>
        <v>647.5875336179199</v>
      </c>
      <c r="I24" s="8">
        <f>'SwapDesk — Operations · Merchan'!I18-'SwapDesk — Operations · Merchan'!I21</f>
        <v>704.6357829455615</v>
      </c>
      <c r="J24" s="8">
        <f>'SwapDesk — Operations · Merchan'!J18-'SwapDesk — Operations · Merchan'!J21</f>
        <v>760.5430672866503</v>
      </c>
      <c r="K24" s="8">
        <f>'SwapDesk — Operations · Merchan'!K18-'SwapDesk — Operations · Merchan'!K21</f>
        <v>815.3322059409172</v>
      </c>
      <c r="L24" s="8">
        <f>'SwapDesk — Operations · Merchan'!L18-'SwapDesk — Operations · Merchan'!L21</f>
        <v>869.025561822099</v>
      </c>
      <c r="M24" s="8">
        <f>'SwapDesk — Operations · Merchan'!M18-'SwapDesk — Operations · Merchan'!M21</f>
        <v>921.6450505856571</v>
      </c>
      <c r="N24" s="8">
        <f>'SwapDesk — Operations · Merchan'!N18-'SwapDesk — Operations · Merchan'!N21</f>
        <v>973.2121495739439</v>
      </c>
      <c r="O24" s="8">
        <f>'SwapDesk — Operations · Merchan'!O18-'SwapDesk — Operations · Merchan'!O21</f>
        <v>1023.7479065824648</v>
      </c>
      <c r="P24" s="8">
        <f>'SwapDesk — Operations · Merchan'!P18-'SwapDesk — Operations · Merchan'!P21</f>
        <v>1073.2729484508156</v>
      </c>
      <c r="Q24" s="8">
        <f>'SwapDesk — Operations · Merchan'!Q18-'SwapDesk — Operations · Merchan'!Q21</f>
        <v>1121.8074894817992</v>
      </c>
      <c r="R24" s="8">
        <f>'SwapDesk — Operations · Merchan'!R18-'SwapDesk — Operations · Merchan'!R21</f>
        <v>1169.371339692163</v>
      </c>
      <c r="S24" s="8">
        <f>'SwapDesk — Operations · Merchan'!S18-'SwapDesk — Operations · Merchan'!S21</f>
        <v>1215.9839128983199</v>
      </c>
      <c r="T24" s="8">
        <f>'SwapDesk — Operations · Merchan'!T18-'SwapDesk — Operations · Merchan'!T21</f>
        <v>1261.6642346403537</v>
      </c>
      <c r="U24" s="8">
        <f>'SwapDesk — Operations · Merchan'!U18-'SwapDesk — Operations · Merchan'!U21</f>
        <v>1306.4309499475467</v>
      </c>
      <c r="V24" s="8">
        <f>'SwapDesk — Operations · Merchan'!V18-'SwapDesk — Operations · Merchan'!V21</f>
        <v>1350.3023309485957</v>
      </c>
      <c r="W24" s="8">
        <f>'SwapDesk — Operations · Merchan'!W18-'SwapDesk — Operations · Merchan'!W21</f>
        <v>1393.2962843296236</v>
      </c>
      <c r="X24" s="8">
        <f>'SwapDesk — Operations · Merchan'!X18-'SwapDesk — Operations · Merchan'!X21</f>
        <v>1435.430358643031</v>
      </c>
      <c r="Y24" s="8">
        <f>'SwapDesk — Operations · Merchan'!Y18-'SwapDesk — Operations · Merchan'!Y21</f>
        <v>1476.7217514701706</v>
      </c>
      <c r="Z24" s="8">
        <f>'SwapDesk — Operations · Merchan'!Z18-'SwapDesk — Operations · Merchan'!Z21</f>
        <v>1517.187316440767</v>
      </c>
    </row>
    <row r="25" outlineLevel="1">
      <c r="A25" t="inlineStr" s="16">
        <is>
          <t xml:space="preserve">Small shop</t>
        </is>
      </c>
      <c r="B25" s="8">
        <f>0</f>
        <v>0</v>
      </c>
      <c r="C25" s="8">
        <f>'SwapDesk — Operations · Merchan'!C19-'SwapDesk — Operations · Merchan'!C22</f>
        <v>245.7</v>
      </c>
      <c r="D25" s="8">
        <f>'SwapDesk — Operations · Merchan'!D19-'SwapDesk — Operations · Merchan'!D22</f>
        <v>280.32899999999995</v>
      </c>
      <c r="E25" s="8">
        <f>'SwapDesk — Operations · Merchan'!E19-'SwapDesk — Operations · Merchan'!E22</f>
        <v>313.91913</v>
      </c>
      <c r="F25" s="8">
        <f>'SwapDesk — Operations · Merchan'!F19-'SwapDesk — Operations · Merchan'!F22</f>
        <v>346.5015560999999</v>
      </c>
      <c r="G25" s="8">
        <f>'SwapDesk — Operations · Merchan'!G19-'SwapDesk — Operations · Merchan'!G22</f>
        <v>378.106509417</v>
      </c>
      <c r="H25" s="8">
        <f>'SwapDesk — Operations · Merchan'!H19-'SwapDesk — Operations · Merchan'!H22</f>
        <v>408.76331413449</v>
      </c>
      <c r="I25" s="8">
        <f>'SwapDesk — Operations · Merchan'!I19-'SwapDesk — Operations · Merchan'!I22</f>
        <v>438.5004147104553</v>
      </c>
      <c r="J25" s="8">
        <f>'SwapDesk — Operations · Merchan'!J19-'SwapDesk — Operations · Merchan'!J22</f>
        <v>467.3454022691416</v>
      </c>
      <c r="K25" s="8">
        <f>'SwapDesk — Operations · Merchan'!K19-'SwapDesk — Operations · Merchan'!K22</f>
        <v>495.3250402010674</v>
      </c>
      <c r="L25" s="8">
        <f>'SwapDesk — Operations · Merchan'!L19-'SwapDesk — Operations · Merchan'!L22</f>
        <v>522.4652889950354</v>
      </c>
      <c r="M25" s="8">
        <f>'SwapDesk — Operations · Merchan'!M19-'SwapDesk — Operations · Merchan'!M22</f>
        <v>548.7913303251843</v>
      </c>
      <c r="N25" s="8">
        <f>'SwapDesk — Operations · Merchan'!N19-'SwapDesk — Operations · Merchan'!N22</f>
        <v>574.3275904154289</v>
      </c>
      <c r="O25" s="8">
        <f>'SwapDesk — Operations · Merchan'!O19-'SwapDesk — Operations · Merchan'!O22</f>
        <v>599.0977627029658</v>
      </c>
      <c r="P25" s="8">
        <f>'SwapDesk — Operations · Merchan'!P19-'SwapDesk — Operations · Merchan'!P22</f>
        <v>623.124829821877</v>
      </c>
      <c r="Q25" s="8">
        <f>'SwapDesk — Operations · Merchan'!Q19-'SwapDesk — Operations · Merchan'!Q22</f>
        <v>646.4310849272208</v>
      </c>
      <c r="R25" s="8">
        <f>'SwapDesk — Operations · Merchan'!R19-'SwapDesk — Operations · Merchan'!R22</f>
        <v>669.038152379404</v>
      </c>
      <c r="S25" s="8">
        <f>'SwapDesk — Operations · Merchan'!S19-'SwapDesk — Operations · Merchan'!S22</f>
        <v>690.9670078080219</v>
      </c>
      <c r="T25" s="8">
        <f>'SwapDesk — Operations · Merchan'!T19-'SwapDesk — Operations · Merchan'!T22</f>
        <v>712.2379975737813</v>
      </c>
      <c r="U25" s="8">
        <f>'SwapDesk — Operations · Merchan'!U19-'SwapDesk — Operations · Merchan'!U22</f>
        <v>732.8708576465679</v>
      </c>
      <c r="V25" s="8">
        <f>'SwapDesk — Operations · Merchan'!V19-'SwapDesk — Operations · Merchan'!V22</f>
        <v>752.8847319171709</v>
      </c>
      <c r="W25" s="8">
        <f>'SwapDesk — Operations · Merchan'!W19-'SwapDesk — Operations · Merchan'!W22</f>
        <v>772.2981899596557</v>
      </c>
      <c r="X25" s="8">
        <f>'SwapDesk — Operations · Merchan'!X19-'SwapDesk — Operations · Merchan'!X22</f>
        <v>791.129244260866</v>
      </c>
      <c r="Y25" s="8">
        <f>'SwapDesk — Operations · Merchan'!Y19-'SwapDesk — Operations · Merchan'!Y22</f>
        <v>809.3953669330401</v>
      </c>
      <c r="Z25" s="8">
        <f>'SwapDesk — Operations · Merchan'!Z19-'SwapDesk — Operations · Merchan'!Z22</f>
        <v>827.1135059250489</v>
      </c>
    </row>
    <row r="26">
      <c r="A26" t="inlineStr" s="5">
        <is>
          <t xml:space="preserve">Extra executions</t>
        </is>
      </c>
      <c r="B26" s="10">
        <f>SUM('SwapDesk — Operations · Merchan'!B27,'SwapDesk — Operations · Merchan'!B28)</f>
        <v>0</v>
      </c>
      <c r="C26" s="10">
        <f>SUM('SwapDesk — Operations · Merchan'!C27,'SwapDesk — Operations · Merchan'!C28)</f>
        <v>252.89999999999998</v>
      </c>
      <c r="D26" s="10">
        <f>SUM('SwapDesk — Operations · Merchan'!D27,'SwapDesk — Operations · Merchan'!D28)</f>
        <v>294.789</v>
      </c>
      <c r="E26" s="10">
        <f>SUM('SwapDesk — Operations · Merchan'!E27,'SwapDesk — Operations · Merchan'!E28)</f>
        <v>335.69181000000003</v>
      </c>
      <c r="F26" s="10">
        <f>SUM('SwapDesk — Operations · Merchan'!F27,'SwapDesk — Operations · Merchan'!F28)</f>
        <v>375.6326061</v>
      </c>
      <c r="G26" s="10">
        <f>SUM('SwapDesk — Operations · Merchan'!G27,'SwapDesk — Operations · Merchan'!G28)</f>
        <v>414.6349473089999</v>
      </c>
      <c r="H26" s="10">
        <f>SUM('SwapDesk — Operations · Merchan'!H27,'SwapDesk — Operations · Merchan'!H28)</f>
        <v>452.72179189389</v>
      </c>
      <c r="I26" s="10">
        <f>SUM('SwapDesk — Operations · Merchan'!I27,'SwapDesk — Operations · Merchan'!I28)</f>
        <v>489.9155132811501</v>
      </c>
      <c r="J26" s="10">
        <f>SUM('SwapDesk — Operations · Merchan'!J27,'SwapDesk — Operations · Merchan'!J28)</f>
        <v>526.2379155239107</v>
      </c>
      <c r="K26" s="10">
        <f>SUM('SwapDesk — Operations · Merchan'!K27,'SwapDesk — Operations · Merchan'!K28)</f>
        <v>561.7102483465649</v>
      </c>
      <c r="L26" s="10">
        <f>SUM('SwapDesk — Operations · Merchan'!L27,'SwapDesk — Operations · Merchan'!L28)</f>
        <v>596.353221778772</v>
      </c>
      <c r="M26" s="10">
        <f>SUM('SwapDesk — Operations · Merchan'!M27,'SwapDesk — Operations · Merchan'!M28)</f>
        <v>630.1870203903607</v>
      </c>
      <c r="N26" s="10">
        <f>SUM('SwapDesk — Operations · Merchan'!N27,'SwapDesk — Operations · Merchan'!N28)</f>
        <v>663.2313171383025</v>
      </c>
      <c r="O26" s="10">
        <f>SUM('SwapDesk — Operations · Merchan'!O27,'SwapDesk — Operations · Merchan'!O28)</f>
        <v>695.5052868366132</v>
      </c>
      <c r="P26" s="10">
        <f>SUM('SwapDesk — Operations · Merchan'!P27,'SwapDesk — Operations · Merchan'!P28)</f>
        <v>727.0276192597255</v>
      </c>
      <c r="Q26" s="10">
        <f>SUM('SwapDesk — Operations · Merchan'!Q27,'SwapDesk — Operations · Merchan'!Q28)</f>
        <v>757.81653188958</v>
      </c>
      <c r="R26" s="10">
        <f>SUM('SwapDesk — Operations · Merchan'!R27,'SwapDesk — Operations · Merchan'!R28)</f>
        <v>787.889782316386</v>
      </c>
      <c r="S26" s="10">
        <f>SUM('SwapDesk — Operations · Merchan'!S27,'SwapDesk — Operations · Merchan'!S28)</f>
        <v>817.2646803027179</v>
      </c>
      <c r="T26" s="10">
        <f>SUM('SwapDesk — Operations · Merchan'!T27,'SwapDesk — Operations · Merchan'!T28)</f>
        <v>845.9580995203435</v>
      </c>
      <c r="U26" s="10">
        <f>SUM('SwapDesk — Operations · Merchan'!U27,'SwapDesk — Operations · Merchan'!U28)</f>
        <v>873.9864889689062</v>
      </c>
      <c r="V26" s="10">
        <f>SUM('SwapDesk — Operations · Merchan'!V27,'SwapDesk — Operations · Merchan'!V28)</f>
        <v>901.3658840853286</v>
      </c>
      <c r="W26" s="10">
        <f>SUM('SwapDesk — Operations · Merchan'!W27,'SwapDesk — Operations · Merchan'!W28)</f>
        <v>928.1119175525484</v>
      </c>
      <c r="X26" s="10">
        <f>SUM('SwapDesk — Operations · Merchan'!X27,'SwapDesk — Operations · Merchan'!X28)</f>
        <v>954.239829815956</v>
      </c>
      <c r="Y26" s="10">
        <f>SUM('SwapDesk — Operations · Merchan'!Y27,'SwapDesk — Operations · Merchan'!Y28)</f>
        <v>979.7644793156617</v>
      </c>
      <c r="Z26" s="10">
        <f>SUM('SwapDesk — Operations · Merchan'!Z27,'SwapDesk — Operations · Merchan'!Z28)</f>
        <v>1004.7003524424927</v>
      </c>
    </row>
    <row r="27" outlineLevel="1">
      <c r="A27" t="inlineStr" s="16">
        <is>
          <t xml:space="preserve">Growing shop</t>
        </is>
      </c>
      <c r="B27" s="8">
        <f>0</f>
        <v>0</v>
      </c>
      <c r="C27" s="8">
        <f>'SwapDesk — Operations · Merchan'!C18*'SwapDesk — Assumptions · Mercha'!F5</f>
        <v>147.6</v>
      </c>
      <c r="D27" s="8">
        <f>'SwapDesk — Operations · Merchan'!D18*'SwapDesk — Assumptions · Mercha'!F5</f>
        <v>174.648</v>
      </c>
      <c r="E27" s="8">
        <f>'SwapDesk — Operations · Merchan'!E18*'SwapDesk — Assumptions · Mercha'!F5</f>
        <v>201.15504</v>
      </c>
      <c r="F27" s="8">
        <f>'SwapDesk — Operations · Merchan'!F18*'SwapDesk — Assumptions · Mercha'!F5</f>
        <v>227.1319392</v>
      </c>
      <c r="G27" s="8">
        <f>'SwapDesk — Operations · Merchan'!G18*'SwapDesk — Assumptions · Mercha'!F5</f>
        <v>252.58930041599996</v>
      </c>
      <c r="H27" s="8">
        <f>'SwapDesk — Operations · Merchan'!H18*'SwapDesk — Assumptions · Mercha'!F5</f>
        <v>277.53751440767996</v>
      </c>
      <c r="I27" s="8">
        <f>'SwapDesk — Operations · Merchan'!I18*'SwapDesk — Assumptions · Mercha'!F5</f>
        <v>301.98676411952636</v>
      </c>
      <c r="J27" s="8">
        <f>'SwapDesk — Operations · Merchan'!J18*'SwapDesk — Assumptions · Mercha'!F5</f>
        <v>325.9470288371358</v>
      </c>
      <c r="K27" s="8">
        <f>'SwapDesk — Operations · Merchan'!K18*'SwapDesk — Assumptions · Mercha'!F5</f>
        <v>349.4280882603931</v>
      </c>
      <c r="L27" s="8">
        <f>'SwapDesk — Operations · Merchan'!L18*'SwapDesk — Assumptions · Mercha'!F5</f>
        <v>372.4395264951853</v>
      </c>
      <c r="M27" s="8">
        <f>'SwapDesk — Operations · Merchan'!M18*'SwapDesk — Assumptions · Mercha'!F5</f>
        <v>394.9907359652816</v>
      </c>
      <c r="N27" s="8">
        <f>'SwapDesk — Operations · Merchan'!N18*'SwapDesk — Assumptions · Mercha'!F5</f>
        <v>417.09092124597595</v>
      </c>
      <c r="O27" s="8">
        <f>'SwapDesk — Operations · Merchan'!O18*'SwapDesk — Assumptions · Mercha'!F5</f>
        <v>438.7491028210564</v>
      </c>
      <c r="P27" s="8">
        <f>'SwapDesk — Operations · Merchan'!P18*'SwapDesk — Assumptions · Mercha'!F5</f>
        <v>459.9741207646353</v>
      </c>
      <c r="Q27" s="8">
        <f>'SwapDesk — Operations · Merchan'!Q18*'SwapDesk — Assumptions · Mercha'!F5</f>
        <v>480.7746383493425</v>
      </c>
      <c r="R27" s="8">
        <f>'SwapDesk — Operations · Merchan'!R18*'SwapDesk — Assumptions · Mercha'!F5</f>
        <v>501.1591455823557</v>
      </c>
      <c r="S27" s="8">
        <f>'SwapDesk — Operations · Merchan'!S18*'SwapDesk — Assumptions · Mercha'!F5</f>
        <v>521.1359626707085</v>
      </c>
      <c r="T27" s="8">
        <f>'SwapDesk — Operations · Merchan'!T18*'SwapDesk — Assumptions · Mercha'!F5</f>
        <v>540.7132434172944</v>
      </c>
      <c r="U27" s="8">
        <f>'SwapDesk — Operations · Merchan'!U18*'SwapDesk — Assumptions · Mercha'!F5</f>
        <v>559.8989785489485</v>
      </c>
      <c r="V27" s="8">
        <f>'SwapDesk — Operations · Merchan'!V18*'SwapDesk — Assumptions · Mercha'!F5</f>
        <v>578.7009989779697</v>
      </c>
      <c r="W27" s="8">
        <f>'SwapDesk — Operations · Merchan'!W18*'SwapDesk — Assumptions · Mercha'!F5</f>
        <v>597.1269789984102</v>
      </c>
      <c r="X27" s="8">
        <f>'SwapDesk — Operations · Merchan'!X18*'SwapDesk — Assumptions · Mercha'!F5</f>
        <v>615.1844394184419</v>
      </c>
      <c r="Y27" s="8">
        <f>'SwapDesk — Operations · Merchan'!Y18*'SwapDesk — Assumptions · Mercha'!F5</f>
        <v>632.8807506300731</v>
      </c>
      <c r="Z27" s="8">
        <f>'SwapDesk — Operations · Merchan'!Z18*'SwapDesk — Assumptions · Mercha'!F5</f>
        <v>650.2231356174717</v>
      </c>
    </row>
    <row r="28" outlineLevel="1">
      <c r="A28" t="inlineStr" s="16">
        <is>
          <t xml:space="preserve">Small shop</t>
        </is>
      </c>
      <c r="B28" s="8">
        <f>0</f>
        <v>0</v>
      </c>
      <c r="C28" s="8">
        <f>'SwapDesk — Operations · Merchan'!C19*'SwapDesk — Assumptions · Mercha'!F6</f>
        <v>105.3</v>
      </c>
      <c r="D28" s="8">
        <f>'SwapDesk — Operations · Merchan'!D19*'SwapDesk — Assumptions · Mercha'!F6</f>
        <v>120.141</v>
      </c>
      <c r="E28" s="8">
        <f>'SwapDesk — Operations · Merchan'!E19*'SwapDesk — Assumptions · Mercha'!F6</f>
        <v>134.53677</v>
      </c>
      <c r="F28" s="8">
        <f>'SwapDesk — Operations · Merchan'!F19*'SwapDesk — Assumptions · Mercha'!F6</f>
        <v>148.50066689999997</v>
      </c>
      <c r="G28" s="8">
        <f>'SwapDesk — Operations · Merchan'!G19*'SwapDesk — Assumptions · Mercha'!F6</f>
        <v>162.045646893</v>
      </c>
      <c r="H28" s="8">
        <f>'SwapDesk — Operations · Merchan'!H19*'SwapDesk — Assumptions · Mercha'!F6</f>
        <v>175.18427748621</v>
      </c>
      <c r="I28" s="8">
        <f>'SwapDesk — Operations · Merchan'!I19*'SwapDesk — Assumptions · Mercha'!F6</f>
        <v>187.9287491616237</v>
      </c>
      <c r="J28" s="8">
        <f>'SwapDesk — Operations · Merchan'!J19*'SwapDesk — Assumptions · Mercha'!F6</f>
        <v>200.29088668677497</v>
      </c>
      <c r="K28" s="8">
        <f>'SwapDesk — Operations · Merchan'!K19*'SwapDesk — Assumptions · Mercha'!F6</f>
        <v>212.28216008617173</v>
      </c>
      <c r="L28" s="8">
        <f>'SwapDesk — Operations · Merchan'!L19*'SwapDesk — Assumptions · Mercha'!F6</f>
        <v>223.9136952835866</v>
      </c>
      <c r="M28" s="8">
        <f>'SwapDesk — Operations · Merchan'!M19*'SwapDesk — Assumptions · Mercha'!F6</f>
        <v>235.196284425079</v>
      </c>
      <c r="N28" s="8">
        <f>'SwapDesk — Operations · Merchan'!N19*'SwapDesk — Assumptions · Mercha'!F6</f>
        <v>246.14039589232664</v>
      </c>
      <c r="O28" s="8">
        <f>'SwapDesk — Operations · Merchan'!O19*'SwapDesk — Assumptions · Mercha'!F6</f>
        <v>256.7561840155568</v>
      </c>
      <c r="P28" s="8">
        <f>'SwapDesk — Operations · Merchan'!P19*'SwapDesk — Assumptions · Mercha'!F6</f>
        <v>267.05349849509014</v>
      </c>
      <c r="Q28" s="8">
        <f>'SwapDesk — Operations · Merchan'!Q19*'SwapDesk — Assumptions · Mercha'!F6</f>
        <v>277.0418935402375</v>
      </c>
      <c r="R28" s="8">
        <f>'SwapDesk — Operations · Merchan'!R19*'SwapDesk — Assumptions · Mercha'!F6</f>
        <v>286.7306367340303</v>
      </c>
      <c r="S28" s="8">
        <f>'SwapDesk — Operations · Merchan'!S19*'SwapDesk — Assumptions · Mercha'!F6</f>
        <v>296.1287176320094</v>
      </c>
      <c r="T28" s="8">
        <f>'SwapDesk — Operations · Merchan'!T19*'SwapDesk — Assumptions · Mercha'!F6</f>
        <v>305.24485610304913</v>
      </c>
      <c r="U28" s="8">
        <f>'SwapDesk — Operations · Merchan'!U19*'SwapDesk — Assumptions · Mercha'!F6</f>
        <v>314.08751041995765</v>
      </c>
      <c r="V28" s="8">
        <f>'SwapDesk — Operations · Merchan'!V19*'SwapDesk — Assumptions · Mercha'!F6</f>
        <v>322.66488510735894</v>
      </c>
      <c r="W28" s="8">
        <f>'SwapDesk — Operations · Merchan'!W19*'SwapDesk — Assumptions · Mercha'!F6</f>
        <v>330.9849385541382</v>
      </c>
      <c r="X28" s="8">
        <f>'SwapDesk — Operations · Merchan'!X19*'SwapDesk — Assumptions · Mercha'!F6</f>
        <v>339.05539039751403</v>
      </c>
      <c r="Y28" s="8">
        <f>'SwapDesk — Operations · Merchan'!Y19*'SwapDesk — Assumptions · Mercha'!F6</f>
        <v>346.88372868558866</v>
      </c>
      <c r="Z28" s="8">
        <f>'SwapDesk — Operations · Merchan'!Z19*'SwapDesk — Assumptions · Mercha'!F6</f>
        <v>354.477216825021</v>
      </c>
    </row>
    <row r="29">
      <c r="A29" t="inlineStr" s="5">
        <is>
          <t xml:space="preserve">Total executions</t>
        </is>
      </c>
      <c r="B29" s="10">
        <f>SUM('SwapDesk — Operations · Merchan'!B30,'SwapDesk — Operations · Merchan'!B31)</f>
        <v>0</v>
      </c>
      <c r="C29" s="10">
        <f>SUM('SwapDesk — Operations · Merchan'!C30,'SwapDesk — Operations · Merchan'!C31)</f>
        <v>1938.8999999999999</v>
      </c>
      <c r="D29" s="10">
        <f>SUM('SwapDesk — Operations · Merchan'!D30,'SwapDesk — Operations · Merchan'!D31)</f>
        <v>2260.049</v>
      </c>
      <c r="E29" s="10">
        <f>SUM('SwapDesk — Operations · Merchan'!E30,'SwapDesk — Operations · Merchan'!E31)</f>
        <v>2573.6372100000003</v>
      </c>
      <c r="F29" s="10">
        <f>SUM('SwapDesk — Operations · Merchan'!F30,'SwapDesk — Operations · Merchan'!F31)</f>
        <v>2879.8499801</v>
      </c>
      <c r="G29" s="10">
        <f>SUM('SwapDesk — Operations · Merchan'!G30,'SwapDesk — Operations · Merchan'!G31)</f>
        <v>3178.8679293689997</v>
      </c>
      <c r="H29" s="10">
        <f>SUM('SwapDesk — Operations · Merchan'!H30,'SwapDesk — Operations · Merchan'!H31)</f>
        <v>3470.8670711864897</v>
      </c>
      <c r="I29" s="10">
        <f>SUM('SwapDesk — Operations · Merchan'!I30,'SwapDesk — Operations · Merchan'!I31)</f>
        <v>3756.018935155484</v>
      </c>
      <c r="J29" s="10">
        <f>SUM('SwapDesk — Operations · Merchan'!J30,'SwapDesk — Operations · Merchan'!J31)</f>
        <v>4034.490685683316</v>
      </c>
      <c r="K29" s="10">
        <f>SUM('SwapDesk — Operations · Merchan'!K30,'SwapDesk — Operations · Merchan'!K31)</f>
        <v>4306.445237323664</v>
      </c>
      <c r="L29" s="10">
        <f>SUM('SwapDesk — Operations · Merchan'!L30,'SwapDesk — Operations · Merchan'!L31)</f>
        <v>4572.041366970585</v>
      </c>
      <c r="M29" s="10">
        <f>SUM('SwapDesk — Operations · Merchan'!M30,'SwapDesk — Operations · Merchan'!M31)</f>
        <v>4831.433822992765</v>
      </c>
      <c r="N29" s="10">
        <f>SUM('SwapDesk — Operations · Merchan'!N30,'SwapDesk — Operations · Merchan'!N31)</f>
        <v>5084.7734313936535</v>
      </c>
      <c r="O29" s="10">
        <f>SUM('SwapDesk — Operations · Merchan'!O30,'SwapDesk — Operations · Merchan'!O31)</f>
        <v>5332.207199080702</v>
      </c>
      <c r="P29" s="10">
        <f>SUM('SwapDesk — Operations · Merchan'!P30,'SwapDesk — Operations · Merchan'!P31)</f>
        <v>5573.878414324562</v>
      </c>
      <c r="Q29" s="10">
        <f>SUM('SwapDesk — Operations · Merchan'!Q30,'SwapDesk — Operations · Merchan'!Q31)</f>
        <v>5809.92674448678</v>
      </c>
      <c r="R29" s="10">
        <f>SUM('SwapDesk — Operations · Merchan'!R30,'SwapDesk — Operations · Merchan'!R31)</f>
        <v>6040.488331092292</v>
      </c>
      <c r="S29" s="10">
        <f>SUM('SwapDesk — Operations · Merchan'!S30,'SwapDesk — Operations · Merchan'!S31)</f>
        <v>6265.695882320838</v>
      </c>
      <c r="T29" s="10">
        <f>SUM('SwapDesk — Operations · Merchan'!T30,'SwapDesk — Operations · Merchan'!T31)</f>
        <v>6485.678762989301</v>
      </c>
      <c r="U29" s="10">
        <f>SUM('SwapDesk — Operations · Merchan'!U30,'SwapDesk — Operations · Merchan'!U31)</f>
        <v>6700.563082094948</v>
      </c>
      <c r="V29" s="10">
        <f>SUM('SwapDesk — Operations · Merchan'!V30,'SwapDesk — Operations · Merchan'!V31)</f>
        <v>6910.47177798752</v>
      </c>
      <c r="W29" s="10">
        <f>SUM('SwapDesk — Operations · Merchan'!W30,'SwapDesk — Operations · Merchan'!W31)</f>
        <v>7115.524701236204</v>
      </c>
      <c r="X29" s="10">
        <f>SUM('SwapDesk — Operations · Merchan'!X30,'SwapDesk — Operations · Merchan'!X31)</f>
        <v>7315.838695255663</v>
      </c>
      <c r="Y29" s="10">
        <f>SUM('SwapDesk — Operations · Merchan'!Y30,'SwapDesk — Operations · Merchan'!Y31)</f>
        <v>7511.527674753406</v>
      </c>
      <c r="Z29" s="10">
        <f>SUM('SwapDesk — Operations · Merchan'!Z30,'SwapDesk — Operations · Merchan'!Z31)</f>
        <v>7702.70270205911</v>
      </c>
    </row>
    <row r="30" outlineLevel="1">
      <c r="A30" t="inlineStr" s="16">
        <is>
          <t xml:space="preserve">Growing shop</t>
        </is>
      </c>
      <c r="B30" s="8">
        <f>0</f>
        <v>0</v>
      </c>
      <c r="C30" s="8">
        <f>'SwapDesk — Operations · Merchan'!C18+'SwapDesk — Operations · Merchan'!C27</f>
        <v>1131.6</v>
      </c>
      <c r="D30" s="8">
        <f>'SwapDesk — Operations · Merchan'!D18+'SwapDesk — Operations · Merchan'!D27</f>
        <v>1338.9679999999998</v>
      </c>
      <c r="E30" s="8">
        <f>'SwapDesk — Operations · Merchan'!E18+'SwapDesk — Operations · Merchan'!E27</f>
        <v>1542.1886400000003</v>
      </c>
      <c r="F30" s="8">
        <f>'SwapDesk — Operations · Merchan'!F18+'SwapDesk — Operations · Merchan'!F27</f>
        <v>1741.3448672000002</v>
      </c>
      <c r="G30" s="8">
        <f>'SwapDesk — Operations · Merchan'!G18+'SwapDesk — Operations · Merchan'!G27</f>
        <v>1936.5179698559998</v>
      </c>
      <c r="H30" s="8">
        <f>'SwapDesk — Operations · Merchan'!H18+'SwapDesk — Operations · Merchan'!H27</f>
        <v>2127.7876104588795</v>
      </c>
      <c r="I30" s="8">
        <f>'SwapDesk — Operations · Merchan'!I18+'SwapDesk — Operations · Merchan'!I27</f>
        <v>2315.2318582497023</v>
      </c>
      <c r="J30" s="8">
        <f>'SwapDesk — Operations · Merchan'!J18+'SwapDesk — Operations · Merchan'!J27</f>
        <v>2498.927221084708</v>
      </c>
      <c r="K30" s="8">
        <f>'SwapDesk — Operations · Merchan'!K18+'SwapDesk — Operations · Merchan'!K27</f>
        <v>2678.948676663014</v>
      </c>
      <c r="L30" s="8">
        <f>'SwapDesk — Operations · Merchan'!L18+'SwapDesk — Operations · Merchan'!L27</f>
        <v>2855.3697031297543</v>
      </c>
      <c r="M30" s="8">
        <f>'SwapDesk — Operations · Merchan'!M18+'SwapDesk — Operations · Merchan'!M27</f>
        <v>3028.262309067159</v>
      </c>
      <c r="N30" s="8">
        <f>'SwapDesk — Operations · Merchan'!N18+'SwapDesk — Operations · Merchan'!N27</f>
        <v>3197.6970628858157</v>
      </c>
      <c r="O30" s="8">
        <f>'SwapDesk — Operations · Merchan'!O18+'SwapDesk — Operations · Merchan'!O27</f>
        <v>3363.7431216280993</v>
      </c>
      <c r="P30" s="8">
        <f>'SwapDesk — Operations · Merchan'!P18+'SwapDesk — Operations · Merchan'!P27</f>
        <v>3526.4682591955375</v>
      </c>
      <c r="Q30" s="8">
        <f>'SwapDesk — Operations · Merchan'!Q18+'SwapDesk — Operations · Merchan'!Q27</f>
        <v>3685.9388940116264</v>
      </c>
      <c r="R30" s="8">
        <f>'SwapDesk — Operations · Merchan'!R18+'SwapDesk — Operations · Merchan'!R27</f>
        <v>3842.2201161313933</v>
      </c>
      <c r="S30" s="8">
        <f>'SwapDesk — Operations · Merchan'!S18+'SwapDesk — Operations · Merchan'!S27</f>
        <v>3995.375713808766</v>
      </c>
      <c r="T30" s="8">
        <f>'SwapDesk — Operations · Merchan'!T18+'SwapDesk — Operations · Merchan'!T27</f>
        <v>4145.468199532591</v>
      </c>
      <c r="U30" s="8">
        <f>'SwapDesk — Operations · Merchan'!U18+'SwapDesk — Operations · Merchan'!U27</f>
        <v>4292.5588355419395</v>
      </c>
      <c r="V30" s="8">
        <f>'SwapDesk — Operations · Merchan'!V18+'SwapDesk — Operations · Merchan'!V27</f>
        <v>4436.707658831101</v>
      </c>
      <c r="W30" s="8">
        <f>'SwapDesk — Operations · Merchan'!W18+'SwapDesk — Operations · Merchan'!W27</f>
        <v>4577.973505654478</v>
      </c>
      <c r="X30" s="8">
        <f>'SwapDesk — Operations · Merchan'!X18+'SwapDesk — Operations · Merchan'!X27</f>
        <v>4716.414035541388</v>
      </c>
      <c r="Y30" s="8">
        <f>'SwapDesk — Operations · Merchan'!Y18+'SwapDesk — Operations · Merchan'!Y27</f>
        <v>4852.08575483056</v>
      </c>
      <c r="Z30" s="8">
        <f>'SwapDesk — Operations · Merchan'!Z18+'SwapDesk — Operations · Merchan'!Z27</f>
        <v>4985.04403973395</v>
      </c>
    </row>
    <row r="31" outlineLevel="1">
      <c r="A31" t="inlineStr" s="16">
        <is>
          <t xml:space="preserve">Small shop</t>
        </is>
      </c>
      <c r="B31" s="8">
        <f>0</f>
        <v>0</v>
      </c>
      <c r="C31" s="8">
        <f>'SwapDesk — Operations · Merchan'!C19+'SwapDesk — Operations · Merchan'!C28</f>
        <v>807.3</v>
      </c>
      <c r="D31" s="8">
        <f>'SwapDesk — Operations · Merchan'!D19+'SwapDesk — Operations · Merchan'!D28</f>
        <v>921.081</v>
      </c>
      <c r="E31" s="8">
        <f>'SwapDesk — Operations · Merchan'!E19+'SwapDesk — Operations · Merchan'!E28</f>
        <v>1031.44857</v>
      </c>
      <c r="F31" s="8">
        <f>'SwapDesk — Operations · Merchan'!F19+'SwapDesk — Operations · Merchan'!F28</f>
        <v>1138.5051128999999</v>
      </c>
      <c r="G31" s="8">
        <f>'SwapDesk — Operations · Merchan'!G19+'SwapDesk — Operations · Merchan'!G28</f>
        <v>1242.349959513</v>
      </c>
      <c r="H31" s="8">
        <f>'SwapDesk — Operations · Merchan'!H19+'SwapDesk — Operations · Merchan'!H28</f>
        <v>1343.07946072761</v>
      </c>
      <c r="I31" s="8">
        <f>'SwapDesk — Operations · Merchan'!I19+'SwapDesk — Operations · Merchan'!I28</f>
        <v>1440.7870769057818</v>
      </c>
      <c r="J31" s="8">
        <f>'SwapDesk — Operations · Merchan'!J19+'SwapDesk — Operations · Merchan'!J28</f>
        <v>1535.563464598608</v>
      </c>
      <c r="K31" s="8">
        <f>'SwapDesk — Operations · Merchan'!K19+'SwapDesk — Operations · Merchan'!K28</f>
        <v>1627.49656066065</v>
      </c>
      <c r="L31" s="8">
        <f>'SwapDesk — Operations · Merchan'!L19+'SwapDesk — Operations · Merchan'!L28</f>
        <v>1716.6716638408307</v>
      </c>
      <c r="M31" s="8">
        <f>'SwapDesk — Operations · Merchan'!M19+'SwapDesk — Operations · Merchan'!M28</f>
        <v>1803.1715139256057</v>
      </c>
      <c r="N31" s="8">
        <f>'SwapDesk — Operations · Merchan'!N19+'SwapDesk — Operations · Merchan'!N28</f>
        <v>1887.0763685078377</v>
      </c>
      <c r="O31" s="8">
        <f>'SwapDesk — Operations · Merchan'!O19+'SwapDesk — Operations · Merchan'!O28</f>
        <v>1968.4640774526024</v>
      </c>
      <c r="P31" s="8">
        <f>'SwapDesk — Operations · Merchan'!P19+'SwapDesk — Operations · Merchan'!P28</f>
        <v>2047.4101551290246</v>
      </c>
      <c r="Q31" s="8">
        <f>'SwapDesk — Operations · Merchan'!Q19+'SwapDesk — Operations · Merchan'!Q28</f>
        <v>2123.987850475154</v>
      </c>
      <c r="R31" s="8">
        <f>'SwapDesk — Operations · Merchan'!R19+'SwapDesk — Operations · Merchan'!R28</f>
        <v>2198.268214960899</v>
      </c>
      <c r="S31" s="8">
        <f>'SwapDesk — Operations · Merchan'!S19+'SwapDesk — Operations · Merchan'!S28</f>
        <v>2270.320168512072</v>
      </c>
      <c r="T31" s="8">
        <f>'SwapDesk — Operations · Merchan'!T19+'SwapDesk — Operations · Merchan'!T28</f>
        <v>2340.21056345671</v>
      </c>
      <c r="U31" s="8">
        <f>'SwapDesk — Operations · Merchan'!U19+'SwapDesk — Operations · Merchan'!U28</f>
        <v>2408.0042465530087</v>
      </c>
      <c r="V31" s="8">
        <f>'SwapDesk — Operations · Merchan'!V19+'SwapDesk — Operations · Merchan'!V28</f>
        <v>2473.764119156419</v>
      </c>
      <c r="W31" s="8">
        <f>'SwapDesk — Operations · Merchan'!W19+'SwapDesk — Operations · Merchan'!W28</f>
        <v>2537.5511955817265</v>
      </c>
      <c r="X31" s="8">
        <f>'SwapDesk — Operations · Merchan'!X19+'SwapDesk — Operations · Merchan'!X28</f>
        <v>2599.4246597142746</v>
      </c>
      <c r="Y31" s="8">
        <f>'SwapDesk — Operations · Merchan'!Y19+'SwapDesk — Operations · Merchan'!Y28</f>
        <v>2659.4419199228464</v>
      </c>
      <c r="Z31" s="8">
        <f>'SwapDesk — Operations · Merchan'!Z19+'SwapDesk — Operations · Merchan'!Z28</f>
        <v>2717.658662325161</v>
      </c>
    </row>
    <row r="32">
      <c r="A32" t="inlineStr" s="5">
        <is>
          <t xml:space="preserve">Subscription revenue</t>
        </is>
      </c>
      <c r="B32" s="10">
        <f>SUM('SwapDesk — Operations · Merchan'!B33,'SwapDesk — Operations · Merchan'!B34)</f>
        <v>0</v>
      </c>
      <c r="C32" s="10">
        <f>SUM('SwapDesk — Operations · Merchan'!C33,'SwapDesk — Operations · Merchan'!C34)</f>
        <v>407.18999999999994</v>
      </c>
      <c r="D32" s="10">
        <f>SUM('SwapDesk — Operations · Merchan'!D33,'SwapDesk — Operations · Merchan'!D34)</f>
        <v>469.6797</v>
      </c>
      <c r="E32" s="10">
        <f>SUM('SwapDesk — Operations · Merchan'!E33,'SwapDesk — Operations · Merchan'!E34)</f>
        <v>530.5156010000001</v>
      </c>
      <c r="F32" s="10">
        <f>SUM('SwapDesk — Operations · Merchan'!F33,'SwapDesk — Operations · Merchan'!F34)</f>
        <v>589.74289913</v>
      </c>
      <c r="G32" s="10">
        <f>SUM('SwapDesk — Operations · Merchan'!G33,'SwapDesk — Operations · Merchan'!G34)</f>
        <v>647.4055229928999</v>
      </c>
      <c r="H32" s="10">
        <f>SUM('SwapDesk — Operations · Merchan'!H33,'SwapDesk — Operations · Merchan'!H34)</f>
        <v>703.5461699231769</v>
      </c>
      <c r="I32" s="10">
        <f>SUM('SwapDesk — Operations · Merchan'!I33,'SwapDesk — Operations · Merchan'!I34)</f>
        <v>758.2063411931443</v>
      </c>
      <c r="J32" s="10">
        <f>SUM('SwapDesk — Operations · Merchan'!J33,'SwapDesk — Operations · Merchan'!J34)</f>
        <v>811.4263761976595</v>
      </c>
      <c r="K32" s="10">
        <f>SUM('SwapDesk — Operations · Merchan'!K33,'SwapDesk — Operations · Merchan'!K34)</f>
        <v>863.245485647233</v>
      </c>
      <c r="L32" s="10">
        <f>SUM('SwapDesk — Operations · Merchan'!L33,'SwapDesk — Operations · Merchan'!L34)</f>
        <v>913.7017837986093</v>
      </c>
      <c r="M32" s="10">
        <f>SUM('SwapDesk — Operations · Merchan'!M33,'SwapDesk — Operations · Merchan'!M34)</f>
        <v>962.8323197510284</v>
      </c>
      <c r="N32" s="10">
        <f>SUM('SwapDesk — Operations · Merchan'!N33,'SwapDesk — Operations · Merchan'!N34)</f>
        <v>1010.6731078355474</v>
      </c>
      <c r="O32" s="10">
        <f>SUM('SwapDesk — Operations · Merchan'!O33,'SwapDesk — Operations · Merchan'!O34)</f>
        <v>1057.2591571239898</v>
      </c>
      <c r="P32" s="10">
        <f>SUM('SwapDesk — Operations · Merchan'!P33,'SwapDesk — Operations · Merchan'!P34)</f>
        <v>1102.6245000833087</v>
      </c>
      <c r="Q32" s="10">
        <f>SUM('SwapDesk — Operations · Merchan'!Q33,'SwapDesk — Operations · Merchan'!Q34)</f>
        <v>1146.8022204003873</v>
      </c>
      <c r="R32" s="10">
        <f>SUM('SwapDesk — Operations · Merchan'!R33,'SwapDesk — Operations · Merchan'!R34)</f>
        <v>1189.8244800015618</v>
      </c>
      <c r="S32" s="10">
        <f>SUM('SwapDesk — Operations · Merchan'!S33,'SwapDesk — Operations · Merchan'!S34)</f>
        <v>1231.7225452904377</v>
      </c>
      <c r="T32" s="10">
        <f>SUM('SwapDesk — Operations · Merchan'!T33,'SwapDesk — Operations · Merchan'!T34)</f>
        <v>1272.5268126268688</v>
      </c>
      <c r="U32" s="10">
        <f>SUM('SwapDesk — Operations · Merchan'!U33,'SwapDesk — Operations · Merchan'!U34)</f>
        <v>1312.2668330693039</v>
      </c>
      <c r="V32" s="10">
        <f>SUM('SwapDesk — Operations · Merchan'!V33,'SwapDesk — Operations · Merchan'!V34)</f>
        <v>1350.9713364020413</v>
      </c>
      <c r="W32" s="10">
        <f>SUM('SwapDesk — Operations · Merchan'!W33,'SwapDesk — Operations · Merchan'!W34)</f>
        <v>1388.6682544683</v>
      </c>
      <c r="X32" s="10">
        <f>SUM('SwapDesk — Operations · Merchan'!X33,'SwapDesk — Operations · Merchan'!X34)</f>
        <v>1425.3847438294047</v>
      </c>
      <c r="Y32" s="10">
        <f>SUM('SwapDesk — Operations · Merchan'!Y33,'SwapDesk — Operations · Merchan'!Y34)</f>
        <v>1461.1472077697733</v>
      </c>
      <c r="Z32" s="10">
        <f>SUM('SwapDesk — Operations · Merchan'!Z33,'SwapDesk — Operations · Merchan'!Z34)</f>
        <v>1495.9813176668258</v>
      </c>
    </row>
    <row r="33" outlineLevel="1">
      <c r="A33" t="inlineStr" s="16">
        <is>
          <t xml:space="preserve">Growing shop</t>
        </is>
      </c>
      <c r="B33" s="8">
        <f>0</f>
        <v>0</v>
      </c>
      <c r="C33" s="8">
        <f>'SwapDesk — Operations · Merchan'!C15*'SwapDesk — Assumptions · Commer'!B5</f>
        <v>120.53999999999999</v>
      </c>
      <c r="D33" s="8">
        <f>'SwapDesk — Operations · Merchan'!D15*'SwapDesk — Assumptions · Commer'!B5</f>
        <v>142.6292</v>
      </c>
      <c r="E33" s="8">
        <f>'SwapDesk — Operations · Merchan'!E15*'SwapDesk — Assumptions · Commer'!B5</f>
        <v>164.27661600000002</v>
      </c>
      <c r="F33" s="8">
        <f>'SwapDesk — Operations · Merchan'!F15*'SwapDesk — Assumptions · Commer'!B5</f>
        <v>185.49108368</v>
      </c>
      <c r="G33" s="8">
        <f>'SwapDesk — Operations · Merchan'!G15*'SwapDesk — Assumptions · Commer'!B5</f>
        <v>206.28126200639997</v>
      </c>
      <c r="H33" s="8">
        <f>'SwapDesk — Operations · Merchan'!H15*'SwapDesk — Assumptions · Commer'!B5</f>
        <v>226.65563676627198</v>
      </c>
      <c r="I33" s="8">
        <f>'SwapDesk — Operations · Merchan'!I15*'SwapDesk — Assumptions · Commer'!B5</f>
        <v>246.62252403094655</v>
      </c>
      <c r="J33" s="8">
        <f>'SwapDesk — Operations · Merchan'!J15*'SwapDesk — Assumptions · Commer'!B5</f>
        <v>266.1900735503276</v>
      </c>
      <c r="K33" s="8">
        <f>'SwapDesk — Operations · Merchan'!K15*'SwapDesk — Assumptions · Commer'!B5</f>
        <v>285.36627207932105</v>
      </c>
      <c r="L33" s="8">
        <f>'SwapDesk — Operations · Merchan'!L15*'SwapDesk — Assumptions · Commer'!B5</f>
        <v>304.1589466377347</v>
      </c>
      <c r="M33" s="8">
        <f>'SwapDesk — Operations · Merchan'!M15*'SwapDesk — Assumptions · Commer'!B5</f>
        <v>322.57576770497997</v>
      </c>
      <c r="N33" s="8">
        <f>'SwapDesk — Operations · Merchan'!N15*'SwapDesk — Assumptions · Commer'!B5</f>
        <v>340.62425235088034</v>
      </c>
      <c r="O33" s="8">
        <f>'SwapDesk — Operations · Merchan'!O15*'SwapDesk — Assumptions · Commer'!B5</f>
        <v>358.3117673038628</v>
      </c>
      <c r="P33" s="8">
        <f>'SwapDesk — Operations · Merchan'!P15*'SwapDesk — Assumptions · Commer'!B5</f>
        <v>375.6455319577855</v>
      </c>
      <c r="Q33" s="8">
        <f>'SwapDesk — Operations · Merchan'!Q15*'SwapDesk — Assumptions · Commer'!B5</f>
        <v>392.6326213186298</v>
      </c>
      <c r="R33" s="8">
        <f>'SwapDesk — Operations · Merchan'!R15*'SwapDesk — Assumptions · Commer'!B5</f>
        <v>409.27996889225716</v>
      </c>
      <c r="S33" s="8">
        <f>'SwapDesk — Operations · Merchan'!S15*'SwapDesk — Assumptions · Commer'!B5</f>
        <v>425.59436951441205</v>
      </c>
      <c r="T33" s="8">
        <f>'SwapDesk — Operations · Merchan'!T15*'SwapDesk — Assumptions · Commer'!B5</f>
        <v>441.58248212412377</v>
      </c>
      <c r="U33" s="8">
        <f>'SwapDesk — Operations · Merchan'!U15*'SwapDesk — Assumptions · Commer'!B5</f>
        <v>457.25083248164134</v>
      </c>
      <c r="V33" s="8">
        <f>'SwapDesk — Operations · Merchan'!V15*'SwapDesk — Assumptions · Commer'!B5</f>
        <v>472.60581583200855</v>
      </c>
      <c r="W33" s="8">
        <f>'SwapDesk — Operations · Merchan'!W15*'SwapDesk — Assumptions · Commer'!B5</f>
        <v>487.6536995153683</v>
      </c>
      <c r="X33" s="8">
        <f>'SwapDesk — Operations · Merchan'!X15*'SwapDesk — Assumptions · Commer'!B5</f>
        <v>502.400625525061</v>
      </c>
      <c r="Y33" s="8">
        <f>'SwapDesk — Operations · Merchan'!Y15*'SwapDesk — Assumptions · Commer'!B5</f>
        <v>516.8526130145598</v>
      </c>
      <c r="Z33" s="8">
        <f>'SwapDesk — Operations · Merchan'!Z15*'SwapDesk — Assumptions · Commer'!B5</f>
        <v>531.0155607542686</v>
      </c>
    </row>
    <row r="34" outlineLevel="1">
      <c r="A34" t="inlineStr" s="16">
        <is>
          <t xml:space="preserve">Small shop</t>
        </is>
      </c>
      <c r="B34" s="8">
        <f>0</f>
        <v>0</v>
      </c>
      <c r="C34" s="8">
        <f>'SwapDesk — Operations · Merchan'!C16*'SwapDesk — Assumptions · Commer'!B5</f>
        <v>286.65</v>
      </c>
      <c r="D34" s="8">
        <f>'SwapDesk — Operations · Merchan'!D16*'SwapDesk — Assumptions · Commer'!B5</f>
        <v>327.0505</v>
      </c>
      <c r="E34" s="8">
        <f>'SwapDesk — Operations · Merchan'!E16*'SwapDesk — Assumptions · Commer'!B5</f>
        <v>366.238985</v>
      </c>
      <c r="F34" s="8">
        <f>'SwapDesk — Operations · Merchan'!F16*'SwapDesk — Assumptions · Commer'!B5</f>
        <v>404.25181545</v>
      </c>
      <c r="G34" s="8">
        <f>'SwapDesk — Operations · Merchan'!G16*'SwapDesk — Assumptions · Commer'!B5</f>
        <v>441.12426098649996</v>
      </c>
      <c r="H34" s="8">
        <f>'SwapDesk — Operations · Merchan'!H16*'SwapDesk — Assumptions · Commer'!B5</f>
        <v>476.89053315690495</v>
      </c>
      <c r="I34" s="8">
        <f>'SwapDesk — Operations · Merchan'!I16*'SwapDesk — Assumptions · Commer'!B5</f>
        <v>511.5838171621978</v>
      </c>
      <c r="J34" s="8">
        <f>'SwapDesk — Operations · Merchan'!J16*'SwapDesk — Assumptions · Commer'!B5</f>
        <v>545.2363026473319</v>
      </c>
      <c r="K34" s="8">
        <f>'SwapDesk — Operations · Merchan'!K16*'SwapDesk — Assumptions · Commer'!B5</f>
        <v>577.879213567912</v>
      </c>
      <c r="L34" s="8">
        <f>'SwapDesk — Operations · Merchan'!L16*'SwapDesk — Assumptions · Commer'!B5</f>
        <v>609.5428371608747</v>
      </c>
      <c r="M34" s="8">
        <f>'SwapDesk — Operations · Merchan'!M16*'SwapDesk — Assumptions · Commer'!B5</f>
        <v>640.2565520460485</v>
      </c>
      <c r="N34" s="8">
        <f>'SwapDesk — Operations · Merchan'!N16*'SwapDesk — Assumptions · Commer'!B5</f>
        <v>670.048855484667</v>
      </c>
      <c r="O34" s="8">
        <f>'SwapDesk — Operations · Merchan'!O16*'SwapDesk — Assumptions · Commer'!B5</f>
        <v>698.947389820127</v>
      </c>
      <c r="P34" s="8">
        <f>'SwapDesk — Operations · Merchan'!P16*'SwapDesk — Assumptions · Commer'!B5</f>
        <v>726.9789681255232</v>
      </c>
      <c r="Q34" s="8">
        <f>'SwapDesk — Operations · Merchan'!Q16*'SwapDesk — Assumptions · Commer'!B5</f>
        <v>754.1695990817575</v>
      </c>
      <c r="R34" s="8">
        <f>'SwapDesk — Operations · Merchan'!R16*'SwapDesk — Assumptions · Commer'!B5</f>
        <v>780.5445111093047</v>
      </c>
      <c r="S34" s="8">
        <f>'SwapDesk — Operations · Merchan'!S16*'SwapDesk — Assumptions · Commer'!B5</f>
        <v>806.1281757760256</v>
      </c>
      <c r="T34" s="8">
        <f>'SwapDesk — Operations · Merchan'!T16*'SwapDesk — Assumptions · Commer'!B5</f>
        <v>830.944330502745</v>
      </c>
      <c r="U34" s="8">
        <f>'SwapDesk — Operations · Merchan'!U16*'SwapDesk — Assumptions · Commer'!B5</f>
        <v>855.0160005876626</v>
      </c>
      <c r="V34" s="8">
        <f>'SwapDesk — Operations · Merchan'!V16*'SwapDesk — Assumptions · Commer'!B5</f>
        <v>878.3655205700327</v>
      </c>
      <c r="W34" s="8">
        <f>'SwapDesk — Operations · Merchan'!W16*'SwapDesk — Assumptions · Commer'!B5</f>
        <v>901.0145549529317</v>
      </c>
      <c r="X34" s="8">
        <f>'SwapDesk — Operations · Merchan'!X16*'SwapDesk — Assumptions · Commer'!B5</f>
        <v>922.9841183043437</v>
      </c>
      <c r="Y34" s="8">
        <f>'SwapDesk — Operations · Merchan'!Y16*'SwapDesk — Assumptions · Commer'!B5</f>
        <v>944.2945947552136</v>
      </c>
      <c r="Z34" s="8">
        <f>'SwapDesk — Operations · Merchan'!Z16*'SwapDesk — Assumptions · Commer'!B5</f>
        <v>964.9657569125571</v>
      </c>
    </row>
    <row r="35">
      <c r="A35" t="inlineStr" s="5">
        <is>
          <t xml:space="preserve">Overage revenue</t>
        </is>
      </c>
      <c r="B35" s="10">
        <f>SUM('SwapDesk — Operations · Merchan'!B36,'SwapDesk — Operations · Merchan'!B37)</f>
        <v>0</v>
      </c>
      <c r="C35" s="10">
        <f>SUM('SwapDesk — Operations · Merchan'!C36,'SwapDesk — Operations · Merchan'!C37)</f>
        <v>196.8</v>
      </c>
      <c r="D35" s="10">
        <f>SUM('SwapDesk — Operations · Merchan'!D36,'SwapDesk — Operations · Merchan'!D37)</f>
        <v>232.864</v>
      </c>
      <c r="E35" s="10">
        <f>SUM('SwapDesk — Operations · Merchan'!E36,'SwapDesk — Operations · Merchan'!E37)</f>
        <v>268.20672</v>
      </c>
      <c r="F35" s="10">
        <f>SUM('SwapDesk — Operations · Merchan'!F36,'SwapDesk — Operations · Merchan'!F37)</f>
        <v>302.8425856</v>
      </c>
      <c r="G35" s="10">
        <f>SUM('SwapDesk — Operations · Merchan'!G36,'SwapDesk — Operations · Merchan'!G37)</f>
        <v>336.785733888</v>
      </c>
      <c r="H35" s="10">
        <f>SUM('SwapDesk — Operations · Merchan'!H36,'SwapDesk — Operations · Merchan'!H37)</f>
        <v>370.05001921023995</v>
      </c>
      <c r="I35" s="10">
        <f>SUM('SwapDesk — Operations · Merchan'!I36,'SwapDesk — Operations · Merchan'!I37)</f>
        <v>402.64901882603516</v>
      </c>
      <c r="J35" s="10">
        <f>SUM('SwapDesk — Operations · Merchan'!J36,'SwapDesk — Operations · Merchan'!J37)</f>
        <v>434.5960384495145</v>
      </c>
      <c r="K35" s="10">
        <f>SUM('SwapDesk — Operations · Merchan'!K36,'SwapDesk — Operations · Merchan'!K37)</f>
        <v>465.9041176805242</v>
      </c>
      <c r="L35" s="10">
        <f>SUM('SwapDesk — Operations · Merchan'!L36,'SwapDesk — Operations · Merchan'!L37)</f>
        <v>496.5860353269137</v>
      </c>
      <c r="M35" s="10">
        <f>SUM('SwapDesk — Operations · Merchan'!M36,'SwapDesk — Operations · Merchan'!M37)</f>
        <v>526.6543146203754</v>
      </c>
      <c r="N35" s="10">
        <f>SUM('SwapDesk — Operations · Merchan'!N36,'SwapDesk — Operations · Merchan'!N37)</f>
        <v>556.121228327968</v>
      </c>
      <c r="O35" s="10">
        <f>SUM('SwapDesk — Operations · Merchan'!O36,'SwapDesk — Operations · Merchan'!O37)</f>
        <v>584.9988037614086</v>
      </c>
      <c r="P35" s="10">
        <f>SUM('SwapDesk — Operations · Merchan'!P36,'SwapDesk — Operations · Merchan'!P37)</f>
        <v>613.2988276861804</v>
      </c>
      <c r="Q35" s="10">
        <f>SUM('SwapDesk — Operations · Merchan'!Q36,'SwapDesk — Operations · Merchan'!Q37)</f>
        <v>641.0328511324567</v>
      </c>
      <c r="R35" s="10">
        <f>SUM('SwapDesk — Operations · Merchan'!R36,'SwapDesk — Operations · Merchan'!R37)</f>
        <v>668.2121941098076</v>
      </c>
      <c r="S35" s="10">
        <f>SUM('SwapDesk — Operations · Merchan'!S36,'SwapDesk — Operations · Merchan'!S37)</f>
        <v>694.8479502276115</v>
      </c>
      <c r="T35" s="10">
        <f>SUM('SwapDesk — Operations · Merchan'!T36,'SwapDesk — Operations · Merchan'!T37)</f>
        <v>720.9509912230592</v>
      </c>
      <c r="U35" s="10">
        <f>SUM('SwapDesk — Operations · Merchan'!U36,'SwapDesk — Operations · Merchan'!U37)</f>
        <v>746.5319713985981</v>
      </c>
      <c r="V35" s="10">
        <f>SUM('SwapDesk — Operations · Merchan'!V36,'SwapDesk — Operations · Merchan'!V37)</f>
        <v>771.6013319706262</v>
      </c>
      <c r="W35" s="10">
        <f>SUM('SwapDesk — Operations · Merchan'!W36,'SwapDesk — Operations · Merchan'!W37)</f>
        <v>796.1693053312136</v>
      </c>
      <c r="X35" s="10">
        <f>SUM('SwapDesk — Operations · Merchan'!X36,'SwapDesk — Operations · Merchan'!X37)</f>
        <v>820.2459192245894</v>
      </c>
      <c r="Y35" s="10">
        <f>SUM('SwapDesk — Operations · Merchan'!Y36,'SwapDesk — Operations · Merchan'!Y37)</f>
        <v>843.8410008400976</v>
      </c>
      <c r="Z35" s="10">
        <f>SUM('SwapDesk — Operations · Merchan'!Z36,'SwapDesk — Operations · Merchan'!Z37)</f>
        <v>866.9641808232956</v>
      </c>
    </row>
    <row r="36" outlineLevel="1">
      <c r="A36" t="inlineStr" s="16">
        <is>
          <t xml:space="preserve">Growing shop</t>
        </is>
      </c>
      <c r="B36" s="8">
        <f>0</f>
        <v>0</v>
      </c>
      <c r="C36" s="8">
        <f>'SwapDesk — Operations · Merchan'!C15*MAX('SwapDesk — Assumptions · Mercha'!D5*'SwapDesk — Assumptions · Mercha'!E5-'SwapDesk — Assumptions · Commer'!B6,0)*'SwapDesk — Assumptions · Commer'!B7</f>
        <v>196.8</v>
      </c>
      <c r="D36" s="8">
        <f>'SwapDesk — Operations · Merchan'!D15*MAX('SwapDesk — Assumptions · Mercha'!D5*'SwapDesk — Assumptions · Mercha'!E5-'SwapDesk — Assumptions · Commer'!B6,0)*'SwapDesk — Assumptions · Commer'!B7</f>
        <v>232.864</v>
      </c>
      <c r="E36" s="8">
        <f>'SwapDesk — Operations · Merchan'!E15*MAX('SwapDesk — Assumptions · Mercha'!D5*'SwapDesk — Assumptions · Mercha'!E5-'SwapDesk — Assumptions · Commer'!B6,0)*'SwapDesk — Assumptions · Commer'!B7</f>
        <v>268.20672</v>
      </c>
      <c r="F36" s="8">
        <f>'SwapDesk — Operations · Merchan'!F15*MAX('SwapDesk — Assumptions · Mercha'!D5*'SwapDesk — Assumptions · Mercha'!E5-'SwapDesk — Assumptions · Commer'!B6,0)*'SwapDesk — Assumptions · Commer'!B7</f>
        <v>302.8425856</v>
      </c>
      <c r="G36" s="8">
        <f>'SwapDesk — Operations · Merchan'!G15*MAX('SwapDesk — Assumptions · Mercha'!D5*'SwapDesk — Assumptions · Mercha'!E5-'SwapDesk — Assumptions · Commer'!B6,0)*'SwapDesk — Assumptions · Commer'!B7</f>
        <v>336.785733888</v>
      </c>
      <c r="H36" s="8">
        <f>'SwapDesk — Operations · Merchan'!H15*MAX('SwapDesk — Assumptions · Mercha'!D5*'SwapDesk — Assumptions · Mercha'!E5-'SwapDesk — Assumptions · Commer'!B6,0)*'SwapDesk — Assumptions · Commer'!B7</f>
        <v>370.05001921023995</v>
      </c>
      <c r="I36" s="8">
        <f>'SwapDesk — Operations · Merchan'!I15*MAX('SwapDesk — Assumptions · Mercha'!D5*'SwapDesk — Assumptions · Mercha'!E5-'SwapDesk — Assumptions · Commer'!B6,0)*'SwapDesk — Assumptions · Commer'!B7</f>
        <v>402.64901882603516</v>
      </c>
      <c r="J36" s="8">
        <f>'SwapDesk — Operations · Merchan'!J15*MAX('SwapDesk — Assumptions · Mercha'!D5*'SwapDesk — Assumptions · Mercha'!E5-'SwapDesk — Assumptions · Commer'!B6,0)*'SwapDesk — Assumptions · Commer'!B7</f>
        <v>434.5960384495145</v>
      </c>
      <c r="K36" s="8">
        <f>'SwapDesk — Operations · Merchan'!K15*MAX('SwapDesk — Assumptions · Mercha'!D5*'SwapDesk — Assumptions · Mercha'!E5-'SwapDesk — Assumptions · Commer'!B6,0)*'SwapDesk — Assumptions · Commer'!B7</f>
        <v>465.9041176805242</v>
      </c>
      <c r="L36" s="8">
        <f>'SwapDesk — Operations · Merchan'!L15*MAX('SwapDesk — Assumptions · Mercha'!D5*'SwapDesk — Assumptions · Mercha'!E5-'SwapDesk — Assumptions · Commer'!B6,0)*'SwapDesk — Assumptions · Commer'!B7</f>
        <v>496.5860353269137</v>
      </c>
      <c r="M36" s="8">
        <f>'SwapDesk — Operations · Merchan'!M15*MAX('SwapDesk — Assumptions · Mercha'!D5*'SwapDesk — Assumptions · Mercha'!E5-'SwapDesk — Assumptions · Commer'!B6,0)*'SwapDesk — Assumptions · Commer'!B7</f>
        <v>526.6543146203754</v>
      </c>
      <c r="N36" s="8">
        <f>'SwapDesk — Operations · Merchan'!N15*MAX('SwapDesk — Assumptions · Mercha'!D5*'SwapDesk — Assumptions · Mercha'!E5-'SwapDesk — Assumptions · Commer'!B6,0)*'SwapDesk — Assumptions · Commer'!B7</f>
        <v>556.121228327968</v>
      </c>
      <c r="O36" s="8">
        <f>'SwapDesk — Operations · Merchan'!O15*MAX('SwapDesk — Assumptions · Mercha'!D5*'SwapDesk — Assumptions · Mercha'!E5-'SwapDesk — Assumptions · Commer'!B6,0)*'SwapDesk — Assumptions · Commer'!B7</f>
        <v>584.9988037614086</v>
      </c>
      <c r="P36" s="8">
        <f>'SwapDesk — Operations · Merchan'!P15*MAX('SwapDesk — Assumptions · Mercha'!D5*'SwapDesk — Assumptions · Mercha'!E5-'SwapDesk — Assumptions · Commer'!B6,0)*'SwapDesk — Assumptions · Commer'!B7</f>
        <v>613.2988276861804</v>
      </c>
      <c r="Q36" s="8">
        <f>'SwapDesk — Operations · Merchan'!Q15*MAX('SwapDesk — Assumptions · Mercha'!D5*'SwapDesk — Assumptions · Mercha'!E5-'SwapDesk — Assumptions · Commer'!B6,0)*'SwapDesk — Assumptions · Commer'!B7</f>
        <v>641.0328511324567</v>
      </c>
      <c r="R36" s="8">
        <f>'SwapDesk — Operations · Merchan'!R15*MAX('SwapDesk — Assumptions · Mercha'!D5*'SwapDesk — Assumptions · Mercha'!E5-'SwapDesk — Assumptions · Commer'!B6,0)*'SwapDesk — Assumptions · Commer'!B7</f>
        <v>668.2121941098076</v>
      </c>
      <c r="S36" s="8">
        <f>'SwapDesk — Operations · Merchan'!S15*MAX('SwapDesk — Assumptions · Mercha'!D5*'SwapDesk — Assumptions · Mercha'!E5-'SwapDesk — Assumptions · Commer'!B6,0)*'SwapDesk — Assumptions · Commer'!B7</f>
        <v>694.8479502276115</v>
      </c>
      <c r="T36" s="8">
        <f>'SwapDesk — Operations · Merchan'!T15*MAX('SwapDesk — Assumptions · Mercha'!D5*'SwapDesk — Assumptions · Mercha'!E5-'SwapDesk — Assumptions · Commer'!B6,0)*'SwapDesk — Assumptions · Commer'!B7</f>
        <v>720.9509912230592</v>
      </c>
      <c r="U36" s="8">
        <f>'SwapDesk — Operations · Merchan'!U15*MAX('SwapDesk — Assumptions · Mercha'!D5*'SwapDesk — Assumptions · Mercha'!E5-'SwapDesk — Assumptions · Commer'!B6,0)*'SwapDesk — Assumptions · Commer'!B7</f>
        <v>746.5319713985981</v>
      </c>
      <c r="V36" s="8">
        <f>'SwapDesk — Operations · Merchan'!V15*MAX('SwapDesk — Assumptions · Mercha'!D5*'SwapDesk — Assumptions · Mercha'!E5-'SwapDesk — Assumptions · Commer'!B6,0)*'SwapDesk — Assumptions · Commer'!B7</f>
        <v>771.6013319706262</v>
      </c>
      <c r="W36" s="8">
        <f>'SwapDesk — Operations · Merchan'!W15*MAX('SwapDesk — Assumptions · Mercha'!D5*'SwapDesk — Assumptions · Mercha'!E5-'SwapDesk — Assumptions · Commer'!B6,0)*'SwapDesk — Assumptions · Commer'!B7</f>
        <v>796.1693053312136</v>
      </c>
      <c r="X36" s="8">
        <f>'SwapDesk — Operations · Merchan'!X15*MAX('SwapDesk — Assumptions · Mercha'!D5*'SwapDesk — Assumptions · Mercha'!E5-'SwapDesk — Assumptions · Commer'!B6,0)*'SwapDesk — Assumptions · Commer'!B7</f>
        <v>820.2459192245894</v>
      </c>
      <c r="Y36" s="8">
        <f>'SwapDesk — Operations · Merchan'!Y15*MAX('SwapDesk — Assumptions · Mercha'!D5*'SwapDesk — Assumptions · Mercha'!E5-'SwapDesk — Assumptions · Commer'!B6,0)*'SwapDesk — Assumptions · Commer'!B7</f>
        <v>843.8410008400976</v>
      </c>
      <c r="Z36" s="8">
        <f>'SwapDesk — Operations · Merchan'!Z15*MAX('SwapDesk — Assumptions · Mercha'!D5*'SwapDesk — Assumptions · Mercha'!E5-'SwapDesk — Assumptions · Commer'!B6,0)*'SwapDesk — Assumptions · Commer'!B7</f>
        <v>866.9641808232956</v>
      </c>
    </row>
    <row r="37" outlineLevel="1">
      <c r="A37" t="inlineStr" s="16">
        <is>
          <t xml:space="preserve">Small shop</t>
        </is>
      </c>
      <c r="B37" s="8">
        <f>0</f>
        <v>0</v>
      </c>
      <c r="C37" s="8">
        <f>'SwapDesk — Operations · Merchan'!C16*MAX('SwapDesk — Assumptions · Mercha'!D6*'SwapDesk — Assumptions · Mercha'!E6-'SwapDesk — Assumptions · Commer'!B6,0)*'SwapDesk — Assumptions · Commer'!B7</f>
        <v>0</v>
      </c>
      <c r="D37" s="8">
        <f>'SwapDesk — Operations · Merchan'!D16*MAX('SwapDesk — Assumptions · Mercha'!D6*'SwapDesk — Assumptions · Mercha'!E6-'SwapDesk — Assumptions · Commer'!B6,0)*'SwapDesk — Assumptions · Commer'!B7</f>
        <v>0</v>
      </c>
      <c r="E37" s="8">
        <f>'SwapDesk — Operations · Merchan'!E16*MAX('SwapDesk — Assumptions · Mercha'!D6*'SwapDesk — Assumptions · Mercha'!E6-'SwapDesk — Assumptions · Commer'!B6,0)*'SwapDesk — Assumptions · Commer'!B7</f>
        <v>0</v>
      </c>
      <c r="F37" s="8">
        <f>'SwapDesk — Operations · Merchan'!F16*MAX('SwapDesk — Assumptions · Mercha'!D6*'SwapDesk — Assumptions · Mercha'!E6-'SwapDesk — Assumptions · Commer'!B6,0)*'SwapDesk — Assumptions · Commer'!B7</f>
        <v>0</v>
      </c>
      <c r="G37" s="8">
        <f>'SwapDesk — Operations · Merchan'!G16*MAX('SwapDesk — Assumptions · Mercha'!D6*'SwapDesk — Assumptions · Mercha'!E6-'SwapDesk — Assumptions · Commer'!B6,0)*'SwapDesk — Assumptions · Commer'!B7</f>
        <v>0</v>
      </c>
      <c r="H37" s="8">
        <f>'SwapDesk — Operations · Merchan'!H16*MAX('SwapDesk — Assumptions · Mercha'!D6*'SwapDesk — Assumptions · Mercha'!E6-'SwapDesk — Assumptions · Commer'!B6,0)*'SwapDesk — Assumptions · Commer'!B7</f>
        <v>0</v>
      </c>
      <c r="I37" s="8">
        <f>'SwapDesk — Operations · Merchan'!I16*MAX('SwapDesk — Assumptions · Mercha'!D6*'SwapDesk — Assumptions · Mercha'!E6-'SwapDesk — Assumptions · Commer'!B6,0)*'SwapDesk — Assumptions · Commer'!B7</f>
        <v>0</v>
      </c>
      <c r="J37" s="8">
        <f>'SwapDesk — Operations · Merchan'!J16*MAX('SwapDesk — Assumptions · Mercha'!D6*'SwapDesk — Assumptions · Mercha'!E6-'SwapDesk — Assumptions · Commer'!B6,0)*'SwapDesk — Assumptions · Commer'!B7</f>
        <v>0</v>
      </c>
      <c r="K37" s="8">
        <f>'SwapDesk — Operations · Merchan'!K16*MAX('SwapDesk — Assumptions · Mercha'!D6*'SwapDesk — Assumptions · Mercha'!E6-'SwapDesk — Assumptions · Commer'!B6,0)*'SwapDesk — Assumptions · Commer'!B7</f>
        <v>0</v>
      </c>
      <c r="L37" s="8">
        <f>'SwapDesk — Operations · Merchan'!L16*MAX('SwapDesk — Assumptions · Mercha'!D6*'SwapDesk — Assumptions · Mercha'!E6-'SwapDesk — Assumptions · Commer'!B6,0)*'SwapDesk — Assumptions · Commer'!B7</f>
        <v>0</v>
      </c>
      <c r="M37" s="8">
        <f>'SwapDesk — Operations · Merchan'!M16*MAX('SwapDesk — Assumptions · Mercha'!D6*'SwapDesk — Assumptions · Mercha'!E6-'SwapDesk — Assumptions · Commer'!B6,0)*'SwapDesk — Assumptions · Commer'!B7</f>
        <v>0</v>
      </c>
      <c r="N37" s="8">
        <f>'SwapDesk — Operations · Merchan'!N16*MAX('SwapDesk — Assumptions · Mercha'!D6*'SwapDesk — Assumptions · Mercha'!E6-'SwapDesk — Assumptions · Commer'!B6,0)*'SwapDesk — Assumptions · Commer'!B7</f>
        <v>0</v>
      </c>
      <c r="O37" s="8">
        <f>'SwapDesk — Operations · Merchan'!O16*MAX('SwapDesk — Assumptions · Mercha'!D6*'SwapDesk — Assumptions · Mercha'!E6-'SwapDesk — Assumptions · Commer'!B6,0)*'SwapDesk — Assumptions · Commer'!B7</f>
        <v>0</v>
      </c>
      <c r="P37" s="8">
        <f>'SwapDesk — Operations · Merchan'!P16*MAX('SwapDesk — Assumptions · Mercha'!D6*'SwapDesk — Assumptions · Mercha'!E6-'SwapDesk — Assumptions · Commer'!B6,0)*'SwapDesk — Assumptions · Commer'!B7</f>
        <v>0</v>
      </c>
      <c r="Q37" s="8">
        <f>'SwapDesk — Operations · Merchan'!Q16*MAX('SwapDesk — Assumptions · Mercha'!D6*'SwapDesk — Assumptions · Mercha'!E6-'SwapDesk — Assumptions · Commer'!B6,0)*'SwapDesk — Assumptions · Commer'!B7</f>
        <v>0</v>
      </c>
      <c r="R37" s="8">
        <f>'SwapDesk — Operations · Merchan'!R16*MAX('SwapDesk — Assumptions · Mercha'!D6*'SwapDesk — Assumptions · Mercha'!E6-'SwapDesk — Assumptions · Commer'!B6,0)*'SwapDesk — Assumptions · Commer'!B7</f>
        <v>0</v>
      </c>
      <c r="S37" s="8">
        <f>'SwapDesk — Operations · Merchan'!S16*MAX('SwapDesk — Assumptions · Mercha'!D6*'SwapDesk — Assumptions · Mercha'!E6-'SwapDesk — Assumptions · Commer'!B6,0)*'SwapDesk — Assumptions · Commer'!B7</f>
        <v>0</v>
      </c>
      <c r="T37" s="8">
        <f>'SwapDesk — Operations · Merchan'!T16*MAX('SwapDesk — Assumptions · Mercha'!D6*'SwapDesk — Assumptions · Mercha'!E6-'SwapDesk — Assumptions · Commer'!B6,0)*'SwapDesk — Assumptions · Commer'!B7</f>
        <v>0</v>
      </c>
      <c r="U37" s="8">
        <f>'SwapDesk — Operations · Merchan'!U16*MAX('SwapDesk — Assumptions · Mercha'!D6*'SwapDesk — Assumptions · Mercha'!E6-'SwapDesk — Assumptions · Commer'!B6,0)*'SwapDesk — Assumptions · Commer'!B7</f>
        <v>0</v>
      </c>
      <c r="V37" s="8">
        <f>'SwapDesk — Operations · Merchan'!V16*MAX('SwapDesk — Assumptions · Mercha'!D6*'SwapDesk — Assumptions · Mercha'!E6-'SwapDesk — Assumptions · Commer'!B6,0)*'SwapDesk — Assumptions · Commer'!B7</f>
        <v>0</v>
      </c>
      <c r="W37" s="8">
        <f>'SwapDesk — Operations · Merchan'!W16*MAX('SwapDesk — Assumptions · Mercha'!D6*'SwapDesk — Assumptions · Mercha'!E6-'SwapDesk — Assumptions · Commer'!B6,0)*'SwapDesk — Assumptions · Commer'!B7</f>
        <v>0</v>
      </c>
      <c r="X37" s="8">
        <f>'SwapDesk — Operations · Merchan'!X16*MAX('SwapDesk — Assumptions · Mercha'!D6*'SwapDesk — Assumptions · Mercha'!E6-'SwapDesk — Assumptions · Commer'!B6,0)*'SwapDesk — Assumptions · Commer'!B7</f>
        <v>0</v>
      </c>
      <c r="Y37" s="8">
        <f>'SwapDesk — Operations · Merchan'!Y16*MAX('SwapDesk — Assumptions · Mercha'!D6*'SwapDesk — Assumptions · Mercha'!E6-'SwapDesk — Assumptions · Commer'!B6,0)*'SwapDesk — Assumptions · Commer'!B7</f>
        <v>0</v>
      </c>
      <c r="Z37" s="8">
        <f>'SwapDesk — Operations · Merchan'!Z16*MAX('SwapDesk — Assumptions · Mercha'!D6*'SwapDesk — Assumptions · Mercha'!E6-'SwapDesk — Assumptions · Commer'!B6,0)*'SwapDesk — Assumptions · Commer'!B7</f>
        <v>0</v>
      </c>
    </row>
    <row r="38">
      <c r="A38" t="inlineStr" s="5">
        <is>
          <t xml:space="preserve">Revenue</t>
        </is>
      </c>
      <c r="B38" s="6">
        <f>SUM('SwapDesk — Operations · Merchan'!B39,'SwapDesk — Operations · Merchan'!B40)</f>
        <v>0</v>
      </c>
      <c r="C38" s="6">
        <f>SUM('SwapDesk — Operations · Merchan'!C39,'SwapDesk — Operations · Merchan'!C40)</f>
        <v>603.99</v>
      </c>
      <c r="D38" s="6">
        <f>SUM('SwapDesk — Operations · Merchan'!D39,'SwapDesk — Operations · Merchan'!D40)</f>
        <v>702.5437</v>
      </c>
      <c r="E38" s="6">
        <f>SUM('SwapDesk — Operations · Merchan'!E39,'SwapDesk — Operations · Merchan'!E40)</f>
        <v>798.722321</v>
      </c>
      <c r="F38" s="6">
        <f>SUM('SwapDesk — Operations · Merchan'!F39,'SwapDesk — Operations · Merchan'!F40)</f>
        <v>892.58548473</v>
      </c>
      <c r="G38" s="6">
        <f>SUM('SwapDesk — Operations · Merchan'!G39,'SwapDesk — Operations · Merchan'!G40)</f>
        <v>984.1912568808999</v>
      </c>
      <c r="H38" s="6">
        <f>SUM('SwapDesk — Operations · Merchan'!H39,'SwapDesk — Operations · Merchan'!H40)</f>
        <v>1073.5961891334168</v>
      </c>
      <c r="I38" s="6">
        <f>SUM('SwapDesk — Operations · Merchan'!I39,'SwapDesk — Operations · Merchan'!I40)</f>
        <v>1160.8553600191794</v>
      </c>
      <c r="J38" s="6">
        <f>SUM('SwapDesk — Operations · Merchan'!J39,'SwapDesk — Operations · Merchan'!J40)</f>
        <v>1246.022414647174</v>
      </c>
      <c r="K38" s="6">
        <f>SUM('SwapDesk — Operations · Merchan'!K39,'SwapDesk — Operations · Merchan'!K40)</f>
        <v>1329.1496033277572</v>
      </c>
      <c r="L38" s="6">
        <f>SUM('SwapDesk — Operations · Merchan'!L39,'SwapDesk — Operations · Merchan'!L40)</f>
        <v>1410.2878191255231</v>
      </c>
      <c r="M38" s="6">
        <f>SUM('SwapDesk — Operations · Merchan'!M39,'SwapDesk — Operations · Merchan'!M40)</f>
        <v>1489.4866343714039</v>
      </c>
      <c r="N38" s="6">
        <f>SUM('SwapDesk — Operations · Merchan'!N39,'SwapDesk — Operations · Merchan'!N40)</f>
        <v>1566.7943361635153</v>
      </c>
      <c r="O38" s="6">
        <f>SUM('SwapDesk — Operations · Merchan'!O39,'SwapDesk — Operations · Merchan'!O40)</f>
        <v>1642.2579608853985</v>
      </c>
      <c r="P38" s="6">
        <f>SUM('SwapDesk — Operations · Merchan'!P39,'SwapDesk — Operations · Merchan'!P40)</f>
        <v>1715.9233277694893</v>
      </c>
      <c r="Q38" s="6">
        <f>SUM('SwapDesk — Operations · Merchan'!Q39,'SwapDesk — Operations · Merchan'!Q40)</f>
        <v>1787.835071532844</v>
      </c>
      <c r="R38" s="6">
        <f>SUM('SwapDesk — Operations · Merchan'!R39,'SwapDesk — Operations · Merchan'!R40)</f>
        <v>1858.0366741113694</v>
      </c>
      <c r="S38" s="6">
        <f>SUM('SwapDesk — Operations · Merchan'!S39,'SwapDesk — Operations · Merchan'!S40)</f>
        <v>1926.570495518049</v>
      </c>
      <c r="T38" s="6">
        <f>SUM('SwapDesk — Operations · Merchan'!T39,'SwapDesk — Operations · Merchan'!T40)</f>
        <v>1993.477803849928</v>
      </c>
      <c r="U38" s="6">
        <f>SUM('SwapDesk — Operations · Merchan'!U39,'SwapDesk — Operations · Merchan'!U40)</f>
        <v>2058.7988044679023</v>
      </c>
      <c r="V38" s="6">
        <f>SUM('SwapDesk — Operations · Merchan'!V39,'SwapDesk — Operations · Merchan'!V40)</f>
        <v>2122.5726683726675</v>
      </c>
      <c r="W38" s="6">
        <f>SUM('SwapDesk — Operations · Merchan'!W39,'SwapDesk — Operations · Merchan'!W40)</f>
        <v>2184.8375597995137</v>
      </c>
      <c r="X38" s="6">
        <f>SUM('SwapDesk — Operations · Merchan'!X39,'SwapDesk — Operations · Merchan'!X40)</f>
        <v>2245.6306630539943</v>
      </c>
      <c r="Y38" s="6">
        <f>SUM('SwapDesk — Operations · Merchan'!Y39,'SwapDesk — Operations · Merchan'!Y40)</f>
        <v>2304.988208609871</v>
      </c>
      <c r="Z38" s="6">
        <f>SUM('SwapDesk — Operations · Merchan'!Z39,'SwapDesk — Operations · Merchan'!Z40)</f>
        <v>2362.9454984901213</v>
      </c>
    </row>
    <row r="39" outlineLevel="1">
      <c r="A39" t="inlineStr" s="16">
        <is>
          <t xml:space="preserve">Growing shop</t>
        </is>
      </c>
      <c r="B39" s="9">
        <f>0</f>
        <v>0</v>
      </c>
      <c r="C39" s="9">
        <f>'SwapDesk — Operations · Merchan'!C33+'SwapDesk — Operations · Merchan'!C36</f>
        <v>317.34000000000003</v>
      </c>
      <c r="D39" s="9">
        <f>'SwapDesk — Operations · Merchan'!D33+'SwapDesk — Operations · Merchan'!D36</f>
        <v>375.4932</v>
      </c>
      <c r="E39" s="9">
        <f>'SwapDesk — Operations · Merchan'!E33+'SwapDesk — Operations · Merchan'!E36</f>
        <v>432.483336</v>
      </c>
      <c r="F39" s="9">
        <f>'SwapDesk — Operations · Merchan'!F33+'SwapDesk — Operations · Merchan'!F36</f>
        <v>488.33366928</v>
      </c>
      <c r="G39" s="9">
        <f>'SwapDesk — Operations · Merchan'!G33+'SwapDesk — Operations · Merchan'!G36</f>
        <v>543.0669958944</v>
      </c>
      <c r="H39" s="9">
        <f>'SwapDesk — Operations · Merchan'!H33+'SwapDesk — Operations · Merchan'!H36</f>
        <v>596.7056559765119</v>
      </c>
      <c r="I39" s="9">
        <f>'SwapDesk — Operations · Merchan'!I33+'SwapDesk — Operations · Merchan'!I36</f>
        <v>649.2715428569817</v>
      </c>
      <c r="J39" s="9">
        <f>'SwapDesk — Operations · Merchan'!J33+'SwapDesk — Operations · Merchan'!J36</f>
        <v>700.7861119998421</v>
      </c>
      <c r="K39" s="9">
        <f>'SwapDesk — Operations · Merchan'!K33+'SwapDesk — Operations · Merchan'!K36</f>
        <v>751.2703897598453</v>
      </c>
      <c r="L39" s="9">
        <f>'SwapDesk — Operations · Merchan'!L33+'SwapDesk — Operations · Merchan'!L36</f>
        <v>800.7449819646483</v>
      </c>
      <c r="M39" s="9">
        <f>'SwapDesk — Operations · Merchan'!M33+'SwapDesk — Operations · Merchan'!M36</f>
        <v>849.2300823253554</v>
      </c>
      <c r="N39" s="9">
        <f>'SwapDesk — Operations · Merchan'!N33+'SwapDesk — Operations · Merchan'!N36</f>
        <v>896.7454806788483</v>
      </c>
      <c r="O39" s="9">
        <f>'SwapDesk — Operations · Merchan'!O33+'SwapDesk — Operations · Merchan'!O36</f>
        <v>943.3105710652713</v>
      </c>
      <c r="P39" s="9">
        <f>'SwapDesk — Operations · Merchan'!P33+'SwapDesk — Operations · Merchan'!P36</f>
        <v>988.944359643966</v>
      </c>
      <c r="Q39" s="9">
        <f>'SwapDesk — Operations · Merchan'!Q33+'SwapDesk — Operations · Merchan'!Q36</f>
        <v>1033.6654724510865</v>
      </c>
      <c r="R39" s="9">
        <f>'SwapDesk — Operations · Merchan'!R33+'SwapDesk — Operations · Merchan'!R36</f>
        <v>1077.4921630020647</v>
      </c>
      <c r="S39" s="9">
        <f>'SwapDesk — Operations · Merchan'!S33+'SwapDesk — Operations · Merchan'!S36</f>
        <v>1120.4423197420235</v>
      </c>
      <c r="T39" s="9">
        <f>'SwapDesk — Operations · Merchan'!T33+'SwapDesk — Operations · Merchan'!T36</f>
        <v>1162.533473347183</v>
      </c>
      <c r="U39" s="9">
        <f>'SwapDesk — Operations · Merchan'!U33+'SwapDesk — Operations · Merchan'!U36</f>
        <v>1203.7828038802395</v>
      </c>
      <c r="V39" s="9">
        <f>'SwapDesk — Operations · Merchan'!V33+'SwapDesk — Operations · Merchan'!V36</f>
        <v>1244.2071478026348</v>
      </c>
      <c r="W39" s="9">
        <f>'SwapDesk — Operations · Merchan'!W33+'SwapDesk — Operations · Merchan'!W36</f>
        <v>1283.823004846582</v>
      </c>
      <c r="X39" s="9">
        <f>'SwapDesk — Operations · Merchan'!X33+'SwapDesk — Operations · Merchan'!X36</f>
        <v>1322.6465447496505</v>
      </c>
      <c r="Y39" s="9">
        <f>'SwapDesk — Operations · Merchan'!Y33+'SwapDesk — Operations · Merchan'!Y36</f>
        <v>1360.6936138546575</v>
      </c>
      <c r="Z39" s="9">
        <f>'SwapDesk — Operations · Merchan'!Z33+'SwapDesk — Operations · Merchan'!Z36</f>
        <v>1397.9797415775643</v>
      </c>
    </row>
    <row r="40" outlineLevel="1">
      <c r="A40" t="inlineStr" s="16">
        <is>
          <t xml:space="preserve">Small shop</t>
        </is>
      </c>
      <c r="B40" s="9">
        <f>0</f>
        <v>0</v>
      </c>
      <c r="C40" s="9">
        <f>'SwapDesk — Operations · Merchan'!C34+'SwapDesk — Operations · Merchan'!C37</f>
        <v>286.65</v>
      </c>
      <c r="D40" s="9">
        <f>'SwapDesk — Operations · Merchan'!D34+'SwapDesk — Operations · Merchan'!D37</f>
        <v>327.0505</v>
      </c>
      <c r="E40" s="9">
        <f>'SwapDesk — Operations · Merchan'!E34+'SwapDesk — Operations · Merchan'!E37</f>
        <v>366.238985</v>
      </c>
      <c r="F40" s="9">
        <f>'SwapDesk — Operations · Merchan'!F34+'SwapDesk — Operations · Merchan'!F37</f>
        <v>404.25181545</v>
      </c>
      <c r="G40" s="9">
        <f>'SwapDesk — Operations · Merchan'!G34+'SwapDesk — Operations · Merchan'!G37</f>
        <v>441.12426098649996</v>
      </c>
      <c r="H40" s="9">
        <f>'SwapDesk — Operations · Merchan'!H34+'SwapDesk — Operations · Merchan'!H37</f>
        <v>476.89053315690495</v>
      </c>
      <c r="I40" s="9">
        <f>'SwapDesk — Operations · Merchan'!I34+'SwapDesk — Operations · Merchan'!I37</f>
        <v>511.5838171621978</v>
      </c>
      <c r="J40" s="9">
        <f>'SwapDesk — Operations · Merchan'!J34+'SwapDesk — Operations · Merchan'!J37</f>
        <v>545.2363026473319</v>
      </c>
      <c r="K40" s="9">
        <f>'SwapDesk — Operations · Merchan'!K34+'SwapDesk — Operations · Merchan'!K37</f>
        <v>577.879213567912</v>
      </c>
      <c r="L40" s="9">
        <f>'SwapDesk — Operations · Merchan'!L34+'SwapDesk — Operations · Merchan'!L37</f>
        <v>609.5428371608747</v>
      </c>
      <c r="M40" s="9">
        <f>'SwapDesk — Operations · Merchan'!M34+'SwapDesk — Operations · Merchan'!M37</f>
        <v>640.2565520460485</v>
      </c>
      <c r="N40" s="9">
        <f>'SwapDesk — Operations · Merchan'!N34+'SwapDesk — Operations · Merchan'!N37</f>
        <v>670.048855484667</v>
      </c>
      <c r="O40" s="9">
        <f>'SwapDesk — Operations · Merchan'!O34+'SwapDesk — Operations · Merchan'!O37</f>
        <v>698.947389820127</v>
      </c>
      <c r="P40" s="9">
        <f>'SwapDesk — Operations · Merchan'!P34+'SwapDesk — Operations · Merchan'!P37</f>
        <v>726.9789681255232</v>
      </c>
      <c r="Q40" s="9">
        <f>'SwapDesk — Operations · Merchan'!Q34+'SwapDesk — Operations · Merchan'!Q37</f>
        <v>754.1695990817575</v>
      </c>
      <c r="R40" s="9">
        <f>'SwapDesk — Operations · Merchan'!R34+'SwapDesk — Operations · Merchan'!R37</f>
        <v>780.5445111093047</v>
      </c>
      <c r="S40" s="9">
        <f>'SwapDesk — Operations · Merchan'!S34+'SwapDesk — Operations · Merchan'!S37</f>
        <v>806.1281757760256</v>
      </c>
      <c r="T40" s="9">
        <f>'SwapDesk — Operations · Merchan'!T34+'SwapDesk — Operations · Merchan'!T37</f>
        <v>830.944330502745</v>
      </c>
      <c r="U40" s="9">
        <f>'SwapDesk — Operations · Merchan'!U34+'SwapDesk — Operations · Merchan'!U37</f>
        <v>855.0160005876626</v>
      </c>
      <c r="V40" s="9">
        <f>'SwapDesk — Operations · Merchan'!V34+'SwapDesk — Operations · Merchan'!V37</f>
        <v>878.3655205700327</v>
      </c>
      <c r="W40" s="9">
        <f>'SwapDesk — Operations · Merchan'!W34+'SwapDesk — Operations · Merchan'!W37</f>
        <v>901.0145549529317</v>
      </c>
      <c r="X40" s="9">
        <f>'SwapDesk — Operations · Merchan'!X34+'SwapDesk — Operations · Merchan'!X37</f>
        <v>922.9841183043437</v>
      </c>
      <c r="Y40" s="9">
        <f>'SwapDesk — Operations · Merchan'!Y34+'SwapDesk — Operations · Merchan'!Y37</f>
        <v>944.2945947552136</v>
      </c>
      <c r="Z40" s="9">
        <f>'SwapDesk — Operations · Merchan'!Z34+'SwapDesk — Operations · Merchan'!Z37</f>
        <v>964.9657569125571</v>
      </c>
    </row>
    <row r="41">
      <c r="A41" t="inlineStr" s="5">
        <is>
          <t xml:space="preserve">Inference cost</t>
        </is>
      </c>
      <c r="B41" s="6">
        <f>SUM('SwapDesk — Operations · Merchan'!B42,'SwapDesk — Operations · Merchan'!B43)</f>
        <v>0</v>
      </c>
      <c r="C41" s="6">
        <f>SUM('SwapDesk — Operations · Merchan'!C42,'SwapDesk — Operations · Merchan'!C43)</f>
        <v>58.16699999999999</v>
      </c>
      <c r="D41" s="6">
        <f>SUM('SwapDesk — Operations · Merchan'!D42,'SwapDesk — Operations · Merchan'!D43)</f>
        <v>67.80147</v>
      </c>
      <c r="E41" s="6">
        <f>SUM('SwapDesk — Operations · Merchan'!E42,'SwapDesk — Operations · Merchan'!E43)</f>
        <v>77.2091163</v>
      </c>
      <c r="F41" s="6">
        <f>SUM('SwapDesk — Operations · Merchan'!F42,'SwapDesk — Operations · Merchan'!F43)</f>
        <v>86.395499403</v>
      </c>
      <c r="G41" s="6">
        <f>SUM('SwapDesk — Operations · Merchan'!G42,'SwapDesk — Operations · Merchan'!G43)</f>
        <v>95.36603788106999</v>
      </c>
      <c r="H41" s="6">
        <f>SUM('SwapDesk — Operations · Merchan'!H42,'SwapDesk — Operations · Merchan'!H43)</f>
        <v>104.12601213559469</v>
      </c>
      <c r="I41" s="6">
        <f>SUM('SwapDesk — Operations · Merchan'!I42,'SwapDesk — Operations · Merchan'!I43)</f>
        <v>112.68056805466452</v>
      </c>
      <c r="J41" s="6">
        <f>SUM('SwapDesk — Operations · Merchan'!J42,'SwapDesk — Operations · Merchan'!J43)</f>
        <v>121.03472057049949</v>
      </c>
      <c r="K41" s="6">
        <f>SUM('SwapDesk — Operations · Merchan'!K42,'SwapDesk — Operations · Merchan'!K43)</f>
        <v>129.1933571197099</v>
      </c>
      <c r="L41" s="6">
        <f>SUM('SwapDesk — Operations · Merchan'!L42,'SwapDesk — Operations · Merchan'!L43)</f>
        <v>137.16124100911753</v>
      </c>
      <c r="M41" s="6">
        <f>SUM('SwapDesk — Operations · Merchan'!M42,'SwapDesk — Operations · Merchan'!M43)</f>
        <v>144.94301468978296</v>
      </c>
      <c r="N41" s="6">
        <f>SUM('SwapDesk — Operations · Merchan'!N42,'SwapDesk — Operations · Merchan'!N43)</f>
        <v>152.5432029418096</v>
      </c>
      <c r="O41" s="6">
        <f>SUM('SwapDesk — Operations · Merchan'!O42,'SwapDesk — Operations · Merchan'!O43)</f>
        <v>159.96621597242105</v>
      </c>
      <c r="P41" s="6">
        <f>SUM('SwapDesk — Operations · Merchan'!P42,'SwapDesk — Operations · Merchan'!P43)</f>
        <v>167.21635242973684</v>
      </c>
      <c r="Q41" s="6">
        <f>SUM('SwapDesk — Operations · Merchan'!Q42,'SwapDesk — Operations · Merchan'!Q43)</f>
        <v>174.2978023346034</v>
      </c>
      <c r="R41" s="6">
        <f>SUM('SwapDesk — Operations · Merchan'!R42,'SwapDesk — Operations · Merchan'!R43)</f>
        <v>181.21464993276876</v>
      </c>
      <c r="S41" s="6">
        <f>SUM('SwapDesk — Operations · Merchan'!S42,'SwapDesk — Operations · Merchan'!S43)</f>
        <v>187.97087646962513</v>
      </c>
      <c r="T41" s="6">
        <f>SUM('SwapDesk — Operations · Merchan'!T42,'SwapDesk — Operations · Merchan'!T43)</f>
        <v>194.57036288967902</v>
      </c>
      <c r="U41" s="6">
        <f>SUM('SwapDesk — Operations · Merchan'!U42,'SwapDesk — Operations · Merchan'!U43)</f>
        <v>201.01689246284843</v>
      </c>
      <c r="V41" s="6">
        <f>SUM('SwapDesk — Operations · Merchan'!V42,'SwapDesk — Operations · Merchan'!V43)</f>
        <v>207.3141533396256</v>
      </c>
      <c r="W41" s="6">
        <f>SUM('SwapDesk — Operations · Merchan'!W42,'SwapDesk — Operations · Merchan'!W43)</f>
        <v>213.46574103708613</v>
      </c>
      <c r="X41" s="6">
        <f>SUM('SwapDesk — Operations · Merchan'!X42,'SwapDesk — Operations · Merchan'!X43)</f>
        <v>219.47516085766986</v>
      </c>
      <c r="Y41" s="6">
        <f>SUM('SwapDesk — Operations · Merchan'!Y42,'SwapDesk — Operations · Merchan'!Y43)</f>
        <v>225.34583024260218</v>
      </c>
      <c r="Z41" s="6">
        <f>SUM('SwapDesk — Operations · Merchan'!Z42,'SwapDesk — Operations · Merchan'!Z43)</f>
        <v>231.08108106177332</v>
      </c>
    </row>
    <row r="42" outlineLevel="1">
      <c r="A42" t="inlineStr" s="16">
        <is>
          <t xml:space="preserve">Growing shop</t>
        </is>
      </c>
      <c r="B42" s="9">
        <f>0</f>
        <v>0</v>
      </c>
      <c r="C42" s="9">
        <f>'SwapDesk — Operations · Merchan'!C30*'SwapDesk — Assumptions · Commer'!B8</f>
        <v>33.94799999999999</v>
      </c>
      <c r="D42" s="9">
        <f>'SwapDesk — Operations · Merchan'!D30*'SwapDesk — Assumptions · Commer'!B8</f>
        <v>40.169039999999995</v>
      </c>
      <c r="E42" s="9">
        <f>'SwapDesk — Operations · Merchan'!E30*'SwapDesk — Assumptions · Commer'!B8</f>
        <v>46.26565920000001</v>
      </c>
      <c r="F42" s="9">
        <f>'SwapDesk — Operations · Merchan'!F30*'SwapDesk — Assumptions · Commer'!B8</f>
        <v>52.240346016000004</v>
      </c>
      <c r="G42" s="9">
        <f>'SwapDesk — Operations · Merchan'!G30*'SwapDesk — Assumptions · Commer'!B8</f>
        <v>58.09553909567999</v>
      </c>
      <c r="H42" s="9">
        <f>'SwapDesk — Operations · Merchan'!H30*'SwapDesk — Assumptions · Commer'!B8</f>
        <v>63.83362831376638</v>
      </c>
      <c r="I42" s="9">
        <f>'SwapDesk — Operations · Merchan'!I30*'SwapDesk — Assumptions · Commer'!B8</f>
        <v>69.45695574749107</v>
      </c>
      <c r="J42" s="9">
        <f>'SwapDesk — Operations · Merchan'!J30*'SwapDesk — Assumptions · Commer'!B8</f>
        <v>74.96781663254124</v>
      </c>
      <c r="K42" s="9">
        <f>'SwapDesk — Operations · Merchan'!K30*'SwapDesk — Assumptions · Commer'!B8</f>
        <v>80.36846029989042</v>
      </c>
      <c r="L42" s="9">
        <f>'SwapDesk — Operations · Merchan'!L30*'SwapDesk — Assumptions · Commer'!B8</f>
        <v>85.66109109389262</v>
      </c>
      <c r="M42" s="9">
        <f>'SwapDesk — Operations · Merchan'!M30*'SwapDesk — Assumptions · Commer'!B8</f>
        <v>90.84786927201478</v>
      </c>
      <c r="N42" s="9">
        <f>'SwapDesk — Operations · Merchan'!N30*'SwapDesk — Assumptions · Commer'!B8</f>
        <v>95.93091188657446</v>
      </c>
      <c r="O42" s="9">
        <f>'SwapDesk — Operations · Merchan'!O30*'SwapDesk — Assumptions · Commer'!B8</f>
        <v>100.91229364884298</v>
      </c>
      <c r="P42" s="9">
        <f>'SwapDesk — Operations · Merchan'!P30*'SwapDesk — Assumptions · Commer'!B8</f>
        <v>105.79404777586612</v>
      </c>
      <c r="Q42" s="9">
        <f>'SwapDesk — Operations · Merchan'!Q30*'SwapDesk — Assumptions · Commer'!B8</f>
        <v>110.57816682034878</v>
      </c>
      <c r="R42" s="9">
        <f>'SwapDesk — Operations · Merchan'!R30*'SwapDesk — Assumptions · Commer'!B8</f>
        <v>115.2666034839418</v>
      </c>
      <c r="S42" s="9">
        <f>'SwapDesk — Operations · Merchan'!S30*'SwapDesk — Assumptions · Commer'!B8</f>
        <v>119.86127141426297</v>
      </c>
      <c r="T42" s="9">
        <f>'SwapDesk — Operations · Merchan'!T30*'SwapDesk — Assumptions · Commer'!B8</f>
        <v>124.36404598597773</v>
      </c>
      <c r="U42" s="9">
        <f>'SwapDesk — Operations · Merchan'!U30*'SwapDesk — Assumptions · Commer'!B8</f>
        <v>128.77676506625818</v>
      </c>
      <c r="V42" s="9">
        <f>'SwapDesk — Operations · Merchan'!V30*'SwapDesk — Assumptions · Commer'!B8</f>
        <v>133.10122976493304</v>
      </c>
      <c r="W42" s="9">
        <f>'SwapDesk — Operations · Merchan'!W30*'SwapDesk — Assumptions · Commer'!B8</f>
        <v>137.33920516963434</v>
      </c>
      <c r="X42" s="9">
        <f>'SwapDesk — Operations · Merchan'!X30*'SwapDesk — Assumptions · Commer'!B8</f>
        <v>141.49242106624163</v>
      </c>
      <c r="Y42" s="9">
        <f>'SwapDesk — Operations · Merchan'!Y30*'SwapDesk — Assumptions · Commer'!B8</f>
        <v>145.5625726449168</v>
      </c>
      <c r="Z42" s="9">
        <f>'SwapDesk — Operations · Merchan'!Z30*'SwapDesk — Assumptions · Commer'!B8</f>
        <v>149.5513211920185</v>
      </c>
    </row>
    <row r="43" outlineLevel="1">
      <c r="A43" t="inlineStr" s="16">
        <is>
          <t xml:space="preserve">Small shop</t>
        </is>
      </c>
      <c r="B43" s="9">
        <f>0</f>
        <v>0</v>
      </c>
      <c r="C43" s="9">
        <f>'SwapDesk — Operations · Merchan'!C31*'SwapDesk — Assumptions · Commer'!B8</f>
        <v>24.218999999999998</v>
      </c>
      <c r="D43" s="9">
        <f>'SwapDesk — Operations · Merchan'!D31*'SwapDesk — Assumptions · Commer'!B8</f>
        <v>27.63243</v>
      </c>
      <c r="E43" s="9">
        <f>'SwapDesk — Operations · Merchan'!E31*'SwapDesk — Assumptions · Commer'!B8</f>
        <v>30.9434571</v>
      </c>
      <c r="F43" s="9">
        <f>'SwapDesk — Operations · Merchan'!F31*'SwapDesk — Assumptions · Commer'!B8</f>
        <v>34.15515338699999</v>
      </c>
      <c r="G43" s="9">
        <f>'SwapDesk — Operations · Merchan'!G31*'SwapDesk — Assumptions · Commer'!B8</f>
        <v>37.27049878539</v>
      </c>
      <c r="H43" s="9">
        <f>'SwapDesk — Operations · Merchan'!H31*'SwapDesk — Assumptions · Commer'!B8</f>
        <v>40.2923838218283</v>
      </c>
      <c r="I43" s="9">
        <f>'SwapDesk — Operations · Merchan'!I31*'SwapDesk — Assumptions · Commer'!B8</f>
        <v>43.223612307173454</v>
      </c>
      <c r="J43" s="9">
        <f>'SwapDesk — Operations · Merchan'!J31*'SwapDesk — Assumptions · Commer'!B8</f>
        <v>46.066903937958244</v>
      </c>
      <c r="K43" s="9">
        <f>'SwapDesk — Operations · Merchan'!K31*'SwapDesk — Assumptions · Commer'!B8</f>
        <v>48.8248968198195</v>
      </c>
      <c r="L43" s="9">
        <f>'SwapDesk — Operations · Merchan'!L31*'SwapDesk — Assumptions · Commer'!B8</f>
        <v>51.50014991522492</v>
      </c>
      <c r="M43" s="9">
        <f>'SwapDesk — Operations · Merchan'!M31*'SwapDesk — Assumptions · Commer'!B8</f>
        <v>54.09514541776817</v>
      </c>
      <c r="N43" s="9">
        <f>'SwapDesk — Operations · Merchan'!N31*'SwapDesk — Assumptions · Commer'!B8</f>
        <v>56.61229105523513</v>
      </c>
      <c r="O43" s="9">
        <f>'SwapDesk — Operations · Merchan'!O31*'SwapDesk — Assumptions · Commer'!B8</f>
        <v>59.05392232357807</v>
      </c>
      <c r="P43" s="9">
        <f>'SwapDesk — Operations · Merchan'!P31*'SwapDesk — Assumptions · Commer'!B8</f>
        <v>61.42230465387073</v>
      </c>
      <c r="Q43" s="9">
        <f>'SwapDesk — Operations · Merchan'!Q31*'SwapDesk — Assumptions · Commer'!B8</f>
        <v>63.71963551425462</v>
      </c>
      <c r="R43" s="9">
        <f>'SwapDesk — Operations · Merchan'!R31*'SwapDesk — Assumptions · Commer'!B8</f>
        <v>65.94804644882697</v>
      </c>
      <c r="S43" s="9">
        <f>'SwapDesk — Operations · Merchan'!S31*'SwapDesk — Assumptions · Commer'!B8</f>
        <v>68.10960505536217</v>
      </c>
      <c r="T43" s="9">
        <f>'SwapDesk — Operations · Merchan'!T31*'SwapDesk — Assumptions · Commer'!B8</f>
        <v>70.2063169037013</v>
      </c>
      <c r="U43" s="9">
        <f>'SwapDesk — Operations · Merchan'!U31*'SwapDesk — Assumptions · Commer'!B8</f>
        <v>72.24012739659025</v>
      </c>
      <c r="V43" s="9">
        <f>'SwapDesk — Operations · Merchan'!V31*'SwapDesk — Assumptions · Commer'!B8</f>
        <v>74.21292357469257</v>
      </c>
      <c r="W43" s="9">
        <f>'SwapDesk — Operations · Merchan'!W31*'SwapDesk — Assumptions · Commer'!B8</f>
        <v>76.12653586745179</v>
      </c>
      <c r="X43" s="9">
        <f>'SwapDesk — Operations · Merchan'!X31*'SwapDesk — Assumptions · Commer'!B8</f>
        <v>77.98273979142823</v>
      </c>
      <c r="Y43" s="9">
        <f>'SwapDesk — Operations · Merchan'!Y31*'SwapDesk — Assumptions · Commer'!B8</f>
        <v>79.78325759768539</v>
      </c>
      <c r="Z43" s="9">
        <f>'SwapDesk — Operations · Merchan'!Z31*'SwapDesk — Assumptions · Commer'!B8</f>
        <v>81.52975986975483</v>
      </c>
    </row>
    <row r="44">
      <c r="A44" t="inlineStr" s="5">
        <is>
          <t xml:space="preserve">Infrastructure variable cost</t>
        </is>
      </c>
      <c r="B44" s="6">
        <f>SUM('SwapDesk — Operations · Merchan'!B45,'SwapDesk — Operations · Merchan'!B46)</f>
        <v>0</v>
      </c>
      <c r="C44" s="6">
        <f>SUM('SwapDesk — Operations · Merchan'!C45,'SwapDesk — Operations · Merchan'!C46)</f>
        <v>8.309999999999999</v>
      </c>
      <c r="D44" s="6">
        <f>SUM('SwapDesk — Operations · Merchan'!D45,'SwapDesk — Operations · Merchan'!D46)</f>
        <v>9.5853</v>
      </c>
      <c r="E44" s="6">
        <f>SUM('SwapDesk — Operations · Merchan'!E45,'SwapDesk — Operations · Merchan'!E46)</f>
        <v>10.826849</v>
      </c>
      <c r="F44" s="6">
        <f>SUM('SwapDesk — Operations · Merchan'!F45,'SwapDesk — Operations · Merchan'!F46)</f>
        <v>12.03556937</v>
      </c>
      <c r="G44" s="6">
        <f>SUM('SwapDesk — Operations · Merchan'!G45,'SwapDesk — Operations · Merchan'!G46)</f>
        <v>13.2123576121</v>
      </c>
      <c r="H44" s="6">
        <f>SUM('SwapDesk — Operations · Merchan'!H45,'SwapDesk — Operations · Merchan'!H46)</f>
        <v>14.358085100472998</v>
      </c>
      <c r="I44" s="6">
        <f>SUM('SwapDesk — Operations · Merchan'!I45,'SwapDesk — Operations · Merchan'!I46)</f>
        <v>15.473598799860088</v>
      </c>
      <c r="J44" s="6">
        <f>SUM('SwapDesk — Operations · Merchan'!J45,'SwapDesk — Operations · Merchan'!J46)</f>
        <v>16.55972196321754</v>
      </c>
      <c r="K44" s="6">
        <f>SUM('SwapDesk — Operations · Merchan'!K45,'SwapDesk — Operations · Merchan'!K46)</f>
        <v>17.617254809127203</v>
      </c>
      <c r="L44" s="6">
        <f>SUM('SwapDesk — Operations · Merchan'!L45,'SwapDesk — Operations · Merchan'!L46)</f>
        <v>18.646975179563455</v>
      </c>
      <c r="M44" s="6">
        <f>SUM('SwapDesk — Operations · Merchan'!M45,'SwapDesk — Operations · Merchan'!M46)</f>
        <v>19.649639178592416</v>
      </c>
      <c r="N44" s="6">
        <f>SUM('SwapDesk — Operations · Merchan'!N45,'SwapDesk — Operations · Merchan'!N46)</f>
        <v>20.62598179256219</v>
      </c>
      <c r="O44" s="6">
        <f>SUM('SwapDesk — Operations · Merchan'!O45,'SwapDesk — Operations · Merchan'!O46)</f>
        <v>21.57671749232632</v>
      </c>
      <c r="P44" s="6">
        <f>SUM('SwapDesk — Operations · Merchan'!P45,'SwapDesk — Operations · Merchan'!P46)</f>
        <v>22.50254081802671</v>
      </c>
      <c r="Q44" s="6">
        <f>SUM('SwapDesk — Operations · Merchan'!Q45,'SwapDesk — Operations · Merchan'!Q46)</f>
        <v>23.40412694694668</v>
      </c>
      <c r="R44" s="6">
        <f>SUM('SwapDesk — Operations · Merchan'!R45,'SwapDesk — Operations · Merchan'!R46)</f>
        <v>24.282132244929834</v>
      </c>
      <c r="S44" s="6">
        <f>SUM('SwapDesk — Operations · Merchan'!S45,'SwapDesk — Operations · Merchan'!S46)</f>
        <v>25.137194801845666</v>
      </c>
      <c r="T44" s="6">
        <f>SUM('SwapDesk — Operations · Merchan'!T45,'SwapDesk — Operations · Merchan'!T46)</f>
        <v>25.96993495156875</v>
      </c>
      <c r="U44" s="6">
        <f>SUM('SwapDesk — Operations · Merchan'!U45,'SwapDesk — Operations · Merchan'!U46)</f>
        <v>26.78095577692457</v>
      </c>
      <c r="V44" s="6">
        <f>SUM('SwapDesk — Operations · Merchan'!V45,'SwapDesk — Operations · Merchan'!V46)</f>
        <v>27.570843600041655</v>
      </c>
      <c r="W44" s="6">
        <f>SUM('SwapDesk — Operations · Merchan'!W45,'SwapDesk — Operations · Merchan'!W46)</f>
        <v>28.340168458536738</v>
      </c>
      <c r="X44" s="6">
        <f>SUM('SwapDesk — Operations · Merchan'!X45,'SwapDesk — Operations · Merchan'!X46)</f>
        <v>29.089484567947036</v>
      </c>
      <c r="Y44" s="6">
        <f>SUM('SwapDesk — Operations · Merchan'!Y45,'SwapDesk — Operations · Merchan'!Y46)</f>
        <v>29.8193307708117</v>
      </c>
      <c r="Z44" s="6">
        <f>SUM('SwapDesk — Operations · Merchan'!Z45,'SwapDesk — Operations · Merchan'!Z46)</f>
        <v>30.53023097279236</v>
      </c>
    </row>
    <row r="45" outlineLevel="1">
      <c r="A45" t="inlineStr" s="16">
        <is>
          <t xml:space="preserve">Growing shop</t>
        </is>
      </c>
      <c r="B45" s="9">
        <f>0</f>
        <v>0</v>
      </c>
      <c r="C45" s="9">
        <f>'SwapDesk — Operations · Merchan'!C15*'SwapDesk — Assumptions · Commer'!B13</f>
        <v>2.46</v>
      </c>
      <c r="D45" s="9">
        <f>'SwapDesk — Operations · Merchan'!D15*'SwapDesk — Assumptions · Commer'!B13</f>
        <v>2.9108</v>
      </c>
      <c r="E45" s="9">
        <f>'SwapDesk — Operations · Merchan'!E15*'SwapDesk — Assumptions · Commer'!B13</f>
        <v>3.3525840000000002</v>
      </c>
      <c r="F45" s="9">
        <f>'SwapDesk — Operations · Merchan'!F15*'SwapDesk — Assumptions · Commer'!B13</f>
        <v>3.78553232</v>
      </c>
      <c r="G45" s="9">
        <f>'SwapDesk — Operations · Merchan'!G15*'SwapDesk — Assumptions · Commer'!B13</f>
        <v>4.2098216736</v>
      </c>
      <c r="H45" s="9">
        <f>'SwapDesk — Operations · Merchan'!H15*'SwapDesk — Assumptions · Commer'!B13</f>
        <v>4.625625240128</v>
      </c>
      <c r="I45" s="9">
        <f>'SwapDesk — Operations · Merchan'!I15*'SwapDesk — Assumptions · Commer'!B13</f>
        <v>5.03311273532544</v>
      </c>
      <c r="J45" s="9">
        <f>'SwapDesk — Operations · Merchan'!J15*'SwapDesk — Assumptions · Commer'!B13</f>
        <v>5.432450480618931</v>
      </c>
      <c r="K45" s="9">
        <f>'SwapDesk — Operations · Merchan'!K15*'SwapDesk — Assumptions · Commer'!B13</f>
        <v>5.823801471006552</v>
      </c>
      <c r="L45" s="9">
        <f>'SwapDesk — Operations · Merchan'!L15*'SwapDesk — Assumptions · Commer'!B13</f>
        <v>6.207325441586422</v>
      </c>
      <c r="M45" s="9">
        <f>'SwapDesk — Operations · Merchan'!M15*'SwapDesk — Assumptions · Commer'!B13</f>
        <v>6.583178932754693</v>
      </c>
      <c r="N45" s="9">
        <f>'SwapDesk — Operations · Merchan'!N15*'SwapDesk — Assumptions · Commer'!B13</f>
        <v>6.951515354099599</v>
      </c>
      <c r="O45" s="9">
        <f>'SwapDesk — Operations · Merchan'!O15*'SwapDesk — Assumptions · Commer'!B13</f>
        <v>7.312485047017607</v>
      </c>
      <c r="P45" s="9">
        <f>'SwapDesk — Operations · Merchan'!P15*'SwapDesk — Assumptions · Commer'!B13</f>
        <v>7.666235346077255</v>
      </c>
      <c r="Q45" s="9">
        <f>'SwapDesk — Operations · Merchan'!Q15*'SwapDesk — Assumptions · Commer'!B13</f>
        <v>8.01291063915571</v>
      </c>
      <c r="R45" s="9">
        <f>'SwapDesk — Operations · Merchan'!R15*'SwapDesk — Assumptions · Commer'!B13</f>
        <v>8.352652426372595</v>
      </c>
      <c r="S45" s="9">
        <f>'SwapDesk — Operations · Merchan'!S15*'SwapDesk — Assumptions · Commer'!B13</f>
        <v>8.685599377845143</v>
      </c>
      <c r="T45" s="9">
        <f>'SwapDesk — Operations · Merchan'!T15*'SwapDesk — Assumptions · Commer'!B13</f>
        <v>9.01188739028824</v>
      </c>
      <c r="U45" s="9">
        <f>'SwapDesk — Operations · Merchan'!U15*'SwapDesk — Assumptions · Commer'!B13</f>
        <v>9.331649642482477</v>
      </c>
      <c r="V45" s="9">
        <f>'SwapDesk — Operations · Merchan'!V15*'SwapDesk — Assumptions · Commer'!B13</f>
        <v>9.645016649632828</v>
      </c>
      <c r="W45" s="9">
        <f>'SwapDesk — Operations · Merchan'!W15*'SwapDesk — Assumptions · Commer'!B13</f>
        <v>9.95211631664017</v>
      </c>
      <c r="X45" s="9">
        <f>'SwapDesk — Operations · Merchan'!X15*'SwapDesk — Assumptions · Commer'!B13</f>
        <v>10.253073990307367</v>
      </c>
      <c r="Y45" s="9">
        <f>'SwapDesk — Operations · Merchan'!Y15*'SwapDesk — Assumptions · Commer'!B13</f>
        <v>10.54801251050122</v>
      </c>
      <c r="Z45" s="9">
        <f>'SwapDesk — Operations · Merchan'!Z15*'SwapDesk — Assumptions · Commer'!B13</f>
        <v>10.837052260291195</v>
      </c>
    </row>
    <row r="46" outlineLevel="1">
      <c r="A46" t="inlineStr" s="16">
        <is>
          <t xml:space="preserve">Small shop</t>
        </is>
      </c>
      <c r="B46" s="9">
        <f>0</f>
        <v>0</v>
      </c>
      <c r="C46" s="9">
        <f>'SwapDesk — Operations · Merchan'!C16*'SwapDesk — Assumptions · Commer'!B13</f>
        <v>5.85</v>
      </c>
      <c r="D46" s="9">
        <f>'SwapDesk — Operations · Merchan'!D16*'SwapDesk — Assumptions · Commer'!B13</f>
        <v>6.6745</v>
      </c>
      <c r="E46" s="9">
        <f>'SwapDesk — Operations · Merchan'!E16*'SwapDesk — Assumptions · Commer'!B13</f>
        <v>7.474265</v>
      </c>
      <c r="F46" s="9">
        <f>'SwapDesk — Operations · Merchan'!F16*'SwapDesk — Assumptions · Commer'!B13</f>
        <v>8.25003705</v>
      </c>
      <c r="G46" s="9">
        <f>'SwapDesk — Operations · Merchan'!G16*'SwapDesk — Assumptions · Commer'!B13</f>
        <v>9.0025359385</v>
      </c>
      <c r="H46" s="9">
        <f>'SwapDesk — Operations · Merchan'!H16*'SwapDesk — Assumptions · Commer'!B13</f>
        <v>9.732459860345</v>
      </c>
      <c r="I46" s="9">
        <f>'SwapDesk — Operations · Merchan'!I16*'SwapDesk — Assumptions · Commer'!B13</f>
        <v>10.44048606453465</v>
      </c>
      <c r="J46" s="9">
        <f>'SwapDesk — Operations · Merchan'!J16*'SwapDesk — Assumptions · Commer'!B13</f>
        <v>11.12727148259861</v>
      </c>
      <c r="K46" s="9">
        <f>'SwapDesk — Operations · Merchan'!K16*'SwapDesk — Assumptions · Commer'!B13</f>
        <v>11.793453338120653</v>
      </c>
      <c r="L46" s="9">
        <f>'SwapDesk — Operations · Merchan'!L16*'SwapDesk — Assumptions · Commer'!B13</f>
        <v>12.439649737977033</v>
      </c>
      <c r="M46" s="9">
        <f>'SwapDesk — Operations · Merchan'!M16*'SwapDesk — Assumptions · Commer'!B13</f>
        <v>13.066460245837723</v>
      </c>
      <c r="N46" s="9">
        <f>'SwapDesk — Operations · Merchan'!N16*'SwapDesk — Assumptions · Commer'!B13</f>
        <v>13.674466438462591</v>
      </c>
      <c r="O46" s="9">
        <f>'SwapDesk — Operations · Merchan'!O16*'SwapDesk — Assumptions · Commer'!B13</f>
        <v>14.264232445308714</v>
      </c>
      <c r="P46" s="9">
        <f>'SwapDesk — Operations · Merchan'!P16*'SwapDesk — Assumptions · Commer'!B13</f>
        <v>14.836305471949453</v>
      </c>
      <c r="Q46" s="9">
        <f>'SwapDesk — Operations · Merchan'!Q16*'SwapDesk — Assumptions · Commer'!B13</f>
        <v>15.39121630779097</v>
      </c>
      <c r="R46" s="9">
        <f>'SwapDesk — Operations · Merchan'!R16*'SwapDesk — Assumptions · Commer'!B13</f>
        <v>15.92947981855724</v>
      </c>
      <c r="S46" s="9">
        <f>'SwapDesk — Operations · Merchan'!S16*'SwapDesk — Assumptions · Commer'!B13</f>
        <v>16.451595424000523</v>
      </c>
      <c r="T46" s="9">
        <f>'SwapDesk — Operations · Merchan'!T16*'SwapDesk — Assumptions · Commer'!B13</f>
        <v>16.95804756128051</v>
      </c>
      <c r="U46" s="9">
        <f>'SwapDesk — Operations · Merchan'!U16*'SwapDesk — Assumptions · Commer'!B13</f>
        <v>17.449306134442093</v>
      </c>
      <c r="V46" s="9">
        <f>'SwapDesk — Operations · Merchan'!V16*'SwapDesk — Assumptions · Commer'!B13</f>
        <v>17.92582695040883</v>
      </c>
      <c r="W46" s="9">
        <f>'SwapDesk — Operations · Merchan'!W16*'SwapDesk — Assumptions · Commer'!B13</f>
        <v>18.388052141896566</v>
      </c>
      <c r="X46" s="9">
        <f>'SwapDesk — Operations · Merchan'!X16*'SwapDesk — Assumptions · Commer'!B13</f>
        <v>18.83641057763967</v>
      </c>
      <c r="Y46" s="9">
        <f>'SwapDesk — Operations · Merchan'!Y16*'SwapDesk — Assumptions · Commer'!B13</f>
        <v>19.27131826031048</v>
      </c>
      <c r="Z46" s="9">
        <f>'SwapDesk — Operations · Merchan'!Z16*'SwapDesk — Assumptions · Commer'!B13</f>
        <v>19.693178712501165</v>
      </c>
    </row>
    <row r="47">
      <c r="A47" t="inlineStr" s="5">
        <is>
          <t xml:space="preserve">Merchant support cost</t>
        </is>
      </c>
      <c r="B47" s="6">
        <f>SUM('SwapDesk — Operations · Merchan'!B48,'SwapDesk — Operations · Merchan'!B49)</f>
        <v>0</v>
      </c>
      <c r="C47" s="6">
        <f>SUM('SwapDesk — Operations · Merchan'!C48,'SwapDesk — Operations · Merchan'!C49)</f>
        <v>67.3125</v>
      </c>
      <c r="D47" s="6">
        <f>SUM('SwapDesk — Operations · Merchan'!D48,'SwapDesk — Operations · Merchan'!D49)</f>
        <v>78.10062500000001</v>
      </c>
      <c r="E47" s="6">
        <f>SUM('SwapDesk — Operations · Merchan'!E48,'SwapDesk — Operations · Merchan'!E49)</f>
        <v>88.62145625000001</v>
      </c>
      <c r="F47" s="6">
        <f>SUM('SwapDesk — Operations · Merchan'!F48,'SwapDesk — Operations · Merchan'!F49)</f>
        <v>98.8818855625</v>
      </c>
      <c r="G47" s="6">
        <f>SUM('SwapDesk — Operations · Merchan'!G48,'SwapDesk — Operations · Merchan'!G49)</f>
        <v>108.888620535625</v>
      </c>
      <c r="H47" s="6">
        <f>SUM('SwapDesk — Operations · Merchan'!H48,'SwapDesk — Operations · Merchan'!H49)</f>
        <v>118.64818962875623</v>
      </c>
      <c r="I47" s="6">
        <f>SUM('SwapDesk — Operations · Merchan'!I48,'SwapDesk — Operations · Merchan'!I49)</f>
        <v>128.16694709490955</v>
      </c>
      <c r="J47" s="6">
        <f>SUM('SwapDesk — Operations · Merchan'!J48,'SwapDesk — Operations · Merchan'!J49)</f>
        <v>137.45107777397794</v>
      </c>
      <c r="K47" s="6">
        <f>SUM('SwapDesk — Operations · Merchan'!K48,'SwapDesk — Operations · Merchan'!K49)</f>
        <v>146.50660175083598</v>
      </c>
      <c r="L47" s="6">
        <f>SUM('SwapDesk — Operations · Merchan'!L48,'SwapDesk — Operations · Merchan'!L49)</f>
        <v>155.33937888218674</v>
      </c>
      <c r="M47" s="6">
        <f>SUM('SwapDesk — Operations · Merchan'!M48,'SwapDesk — Operations · Merchan'!M49)</f>
        <v>163.95511319591944</v>
      </c>
      <c r="N47" s="6">
        <f>SUM('SwapDesk — Operations · Merchan'!N48,'SwapDesk — Operations · Merchan'!N49)</f>
        <v>172.3593571666362</v>
      </c>
      <c r="O47" s="6">
        <f>SUM('SwapDesk — Operations · Merchan'!O48,'SwapDesk — Operations · Merchan'!O49)</f>
        <v>180.55751587089955</v>
      </c>
      <c r="P47" s="6">
        <f>SUM('SwapDesk — Operations · Merchan'!P48,'SwapDesk — Operations · Merchan'!P49)</f>
        <v>188.55485102564978</v>
      </c>
      <c r="Q47" s="6">
        <f>SUM('SwapDesk — Operations · Merchan'!Q48,'SwapDesk — Operations · Merchan'!Q49)</f>
        <v>196.35648491313992</v>
      </c>
      <c r="R47" s="6">
        <f>SUM('SwapDesk — Operations · Merchan'!R48,'SwapDesk — Operations · Merchan'!R49)</f>
        <v>203.9674041956402</v>
      </c>
      <c r="S47" s="6">
        <f>SUM('SwapDesk — Operations · Merchan'!S48,'SwapDesk — Operations · Merchan'!S49)</f>
        <v>211.39246362306756</v>
      </c>
      <c r="T47" s="6">
        <f>SUM('SwapDesk — Operations · Merchan'!T48,'SwapDesk — Operations · Merchan'!T49)</f>
        <v>218.6363896366062</v>
      </c>
      <c r="U47" s="6">
        <f>SUM('SwapDesk — Operations · Merchan'!U48,'SwapDesk — Operations · Merchan'!U49)</f>
        <v>225.70378387129404</v>
      </c>
      <c r="V47" s="6">
        <f>SUM('SwapDesk — Operations · Merchan'!V48,'SwapDesk — Operations · Merchan'!V49)</f>
        <v>232.59912656046555</v>
      </c>
      <c r="W47" s="6">
        <f>SUM('SwapDesk — Operations · Merchan'!W48,'SwapDesk — Operations · Merchan'!W49)</f>
        <v>239.32677984485565</v>
      </c>
      <c r="X47" s="6">
        <f>SUM('SwapDesk — Operations · Merchan'!X48,'SwapDesk — Operations · Merchan'!X49)</f>
        <v>245.89099098909</v>
      </c>
      <c r="Y47" s="6">
        <f>SUM('SwapDesk — Operations · Merchan'!Y48,'SwapDesk — Operations · Merchan'!Y49)</f>
        <v>252.29589550820572</v>
      </c>
      <c r="Z47" s="6">
        <f>SUM('SwapDesk — Operations · Merchan'!Z48,'SwapDesk — Operations · Merchan'!Z49)</f>
        <v>258.5455202067722</v>
      </c>
    </row>
    <row r="48" outlineLevel="1">
      <c r="A48" t="inlineStr" s="16">
        <is>
          <t xml:space="preserve">Growing shop</t>
        </is>
      </c>
      <c r="B48" s="9">
        <f>0</f>
        <v>0</v>
      </c>
      <c r="C48" s="9">
        <f>'SwapDesk — Operations · Merchan'!C15*'SwapDesk — Assumptions · Mercha'!G5/60*'SwapDesk — Assumptions · Commer'!B9</f>
        <v>30.75</v>
      </c>
      <c r="D48" s="9">
        <f>'SwapDesk — Operations · Merchan'!D15*'SwapDesk — Assumptions · Mercha'!G5/60*'SwapDesk — Assumptions · Commer'!B9</f>
        <v>36.385</v>
      </c>
      <c r="E48" s="9">
        <f>'SwapDesk — Operations · Merchan'!E15*'SwapDesk — Assumptions · Mercha'!G5/60*'SwapDesk — Assumptions · Commer'!B9</f>
        <v>41.907300000000006</v>
      </c>
      <c r="F48" s="9">
        <f>'SwapDesk — Operations · Merchan'!F15*'SwapDesk — Assumptions · Mercha'!G5/60*'SwapDesk — Assumptions · Commer'!B9</f>
        <v>47.319154000000005</v>
      </c>
      <c r="G48" s="9">
        <f>'SwapDesk — Operations · Merchan'!G15*'SwapDesk — Assumptions · Mercha'!G5/60*'SwapDesk — Assumptions · Commer'!B9</f>
        <v>52.622770919999994</v>
      </c>
      <c r="H48" s="9">
        <f>'SwapDesk — Operations · Merchan'!H15*'SwapDesk — Assumptions · Mercha'!G5/60*'SwapDesk — Assumptions · Commer'!B9</f>
        <v>57.82031550159999</v>
      </c>
      <c r="I48" s="9">
        <f>'SwapDesk — Operations · Merchan'!I15*'SwapDesk — Assumptions · Mercha'!G5/60*'SwapDesk — Assumptions · Commer'!B9</f>
        <v>62.91390919156798</v>
      </c>
      <c r="J48" s="9">
        <f>'SwapDesk — Operations · Merchan'!J15*'SwapDesk — Assumptions · Mercha'!G5/60*'SwapDesk — Assumptions · Commer'!B9</f>
        <v>67.90563100773663</v>
      </c>
      <c r="K48" s="9">
        <f>'SwapDesk — Operations · Merchan'!K15*'SwapDesk — Assumptions · Mercha'!G5/60*'SwapDesk — Assumptions · Commer'!B9</f>
        <v>72.7975183875819</v>
      </c>
      <c r="L48" s="9">
        <f>'SwapDesk — Operations · Merchan'!L15*'SwapDesk — Assumptions · Mercha'!G5/60*'SwapDesk — Assumptions · Commer'!B9</f>
        <v>77.59156801983028</v>
      </c>
      <c r="M48" s="9">
        <f>'SwapDesk — Operations · Merchan'!M15*'SwapDesk — Assumptions · Mercha'!G5/60*'SwapDesk — Assumptions · Commer'!B9</f>
        <v>82.28973665943367</v>
      </c>
      <c r="N48" s="9">
        <f>'SwapDesk — Operations · Merchan'!N15*'SwapDesk — Assumptions · Mercha'!G5/60*'SwapDesk — Assumptions · Commer'!B9</f>
        <v>86.89394192624499</v>
      </c>
      <c r="O48" s="9">
        <f>'SwapDesk — Operations · Merchan'!O15*'SwapDesk — Assumptions · Mercha'!G5/60*'SwapDesk — Assumptions · Commer'!B9</f>
        <v>91.40606308772009</v>
      </c>
      <c r="P48" s="9">
        <f>'SwapDesk — Operations · Merchan'!P15*'SwapDesk — Assumptions · Mercha'!G5/60*'SwapDesk — Assumptions · Commer'!B9</f>
        <v>95.8279418259657</v>
      </c>
      <c r="Q48" s="9">
        <f>'SwapDesk — Operations · Merchan'!Q15*'SwapDesk — Assumptions · Mercha'!G5/60*'SwapDesk — Assumptions · Commer'!B9</f>
        <v>100.16138298944637</v>
      </c>
      <c r="R48" s="9">
        <f>'SwapDesk — Operations · Merchan'!R15*'SwapDesk — Assumptions · Mercha'!G5/60*'SwapDesk — Assumptions · Commer'!B9</f>
        <v>104.40815532965743</v>
      </c>
      <c r="S48" s="9">
        <f>'SwapDesk — Operations · Merchan'!S15*'SwapDesk — Assumptions · Mercha'!G5/60*'SwapDesk — Assumptions · Commer'!B9</f>
        <v>108.56999222306429</v>
      </c>
      <c r="T48" s="9">
        <f>'SwapDesk — Operations · Merchan'!T15*'SwapDesk — Assumptions · Mercha'!G5/60*'SwapDesk — Assumptions · Commer'!B9</f>
        <v>112.64859237860301</v>
      </c>
      <c r="U48" s="9">
        <f>'SwapDesk — Operations · Merchan'!U15*'SwapDesk — Assumptions · Mercha'!G5/60*'SwapDesk — Assumptions · Commer'!B9</f>
        <v>116.64562053103094</v>
      </c>
      <c r="V48" s="9">
        <f>'SwapDesk — Operations · Merchan'!V15*'SwapDesk — Assumptions · Mercha'!G5/60*'SwapDesk — Assumptions · Commer'!B9</f>
        <v>120.56270812041035</v>
      </c>
      <c r="W48" s="9">
        <f>'SwapDesk — Operations · Merchan'!W15*'SwapDesk — Assumptions · Mercha'!G5/60*'SwapDesk — Assumptions · Commer'!B9</f>
        <v>124.40145395800212</v>
      </c>
      <c r="X48" s="9">
        <f>'SwapDesk — Operations · Merchan'!X15*'SwapDesk — Assumptions · Mercha'!G5/60*'SwapDesk — Assumptions · Commer'!B9</f>
        <v>128.16342487884208</v>
      </c>
      <c r="Y48" s="9">
        <f>'SwapDesk — Operations · Merchan'!Y15*'SwapDesk — Assumptions · Mercha'!G5/60*'SwapDesk — Assumptions · Commer'!B9</f>
        <v>131.85015638126524</v>
      </c>
      <c r="Z48" s="9">
        <f>'SwapDesk — Operations · Merchan'!Z15*'SwapDesk — Assumptions · Mercha'!G5/60*'SwapDesk — Assumptions · Commer'!B9</f>
        <v>135.46315325363994</v>
      </c>
    </row>
    <row r="49" outlineLevel="1">
      <c r="A49" t="inlineStr" s="16">
        <is>
          <t xml:space="preserve">Small shop</t>
        </is>
      </c>
      <c r="B49" s="9">
        <f>0</f>
        <v>0</v>
      </c>
      <c r="C49" s="9">
        <f>'SwapDesk — Operations · Merchan'!C16*'SwapDesk — Assumptions · Mercha'!G6/60*'SwapDesk — Assumptions · Commer'!B9</f>
        <v>36.5625</v>
      </c>
      <c r="D49" s="9">
        <f>'SwapDesk — Operations · Merchan'!D16*'SwapDesk — Assumptions · Mercha'!G6/60*'SwapDesk — Assumptions · Commer'!B9</f>
        <v>41.715625</v>
      </c>
      <c r="E49" s="9">
        <f>'SwapDesk — Operations · Merchan'!E16*'SwapDesk — Assumptions · Mercha'!G6/60*'SwapDesk — Assumptions · Commer'!B9</f>
        <v>46.71415625</v>
      </c>
      <c r="F49" s="9">
        <f>'SwapDesk — Operations · Merchan'!F16*'SwapDesk — Assumptions · Mercha'!G6/60*'SwapDesk — Assumptions · Commer'!B9</f>
        <v>51.5627315625</v>
      </c>
      <c r="G49" s="9">
        <f>'SwapDesk — Operations · Merchan'!G16*'SwapDesk — Assumptions · Mercha'!G6/60*'SwapDesk — Assumptions · Commer'!B9</f>
        <v>56.265849615624994</v>
      </c>
      <c r="H49" s="9">
        <f>'SwapDesk — Operations · Merchan'!H16*'SwapDesk — Assumptions · Mercha'!G6/60*'SwapDesk — Assumptions · Commer'!B9</f>
        <v>60.82787412715624</v>
      </c>
      <c r="I49" s="9">
        <f>'SwapDesk — Operations · Merchan'!I16*'SwapDesk — Assumptions · Mercha'!G6/60*'SwapDesk — Assumptions · Commer'!B9</f>
        <v>65.25303790334156</v>
      </c>
      <c r="J49" s="9">
        <f>'SwapDesk — Operations · Merchan'!J16*'SwapDesk — Assumptions · Mercha'!G6/60*'SwapDesk — Assumptions · Commer'!B9</f>
        <v>69.54544676624131</v>
      </c>
      <c r="K49" s="9">
        <f>'SwapDesk — Operations · Merchan'!K16*'SwapDesk — Assumptions · Mercha'!G6/60*'SwapDesk — Assumptions · Commer'!B9</f>
        <v>73.70908336325408</v>
      </c>
      <c r="L49" s="9">
        <f>'SwapDesk — Operations · Merchan'!L16*'SwapDesk — Assumptions · Mercha'!G6/60*'SwapDesk — Assumptions · Commer'!B9</f>
        <v>77.74781086235646</v>
      </c>
      <c r="M49" s="9">
        <f>'SwapDesk — Operations · Merchan'!M16*'SwapDesk — Assumptions · Mercha'!G6/60*'SwapDesk — Assumptions · Commer'!B9</f>
        <v>81.66537653648577</v>
      </c>
      <c r="N49" s="9">
        <f>'SwapDesk — Operations · Merchan'!N16*'SwapDesk — Assumptions · Mercha'!G6/60*'SwapDesk — Assumptions · Commer'!B9</f>
        <v>85.4654152403912</v>
      </c>
      <c r="O49" s="9">
        <f>'SwapDesk — Operations · Merchan'!O16*'SwapDesk — Assumptions · Mercha'!G6/60*'SwapDesk — Assumptions · Commer'!B9</f>
        <v>89.15145278317947</v>
      </c>
      <c r="P49" s="9">
        <f>'SwapDesk — Operations · Merchan'!P16*'SwapDesk — Assumptions · Mercha'!G6/60*'SwapDesk — Assumptions · Commer'!B9</f>
        <v>92.72690919968409</v>
      </c>
      <c r="Q49" s="9">
        <f>'SwapDesk — Operations · Merchan'!Q16*'SwapDesk — Assumptions · Mercha'!G6/60*'SwapDesk — Assumptions · Commer'!B9</f>
        <v>96.19510192369356</v>
      </c>
      <c r="R49" s="9">
        <f>'SwapDesk — Operations · Merchan'!R16*'SwapDesk — Assumptions · Mercha'!G6/60*'SwapDesk — Assumptions · Commer'!B9</f>
        <v>99.55924886598275</v>
      </c>
      <c r="S49" s="9">
        <f>'SwapDesk — Operations · Merchan'!S16*'SwapDesk — Assumptions · Mercha'!G6/60*'SwapDesk — Assumptions · Commer'!B9</f>
        <v>102.82247140000327</v>
      </c>
      <c r="T49" s="9">
        <f>'SwapDesk — Operations · Merchan'!T16*'SwapDesk — Assumptions · Mercha'!G6/60*'SwapDesk — Assumptions · Commer'!B9</f>
        <v>105.98779725800318</v>
      </c>
      <c r="U49" s="9">
        <f>'SwapDesk — Operations · Merchan'!U16*'SwapDesk — Assumptions · Mercha'!G6/60*'SwapDesk — Assumptions · Commer'!B9</f>
        <v>109.05816334026308</v>
      </c>
      <c r="V49" s="9">
        <f>'SwapDesk — Operations · Merchan'!V16*'SwapDesk — Assumptions · Mercha'!G6/60*'SwapDesk — Assumptions · Commer'!B9</f>
        <v>112.03641844005519</v>
      </c>
      <c r="W49" s="9">
        <f>'SwapDesk — Operations · Merchan'!W16*'SwapDesk — Assumptions · Mercha'!G6/60*'SwapDesk — Assumptions · Commer'!B9</f>
        <v>114.92532588685353</v>
      </c>
      <c r="X49" s="9">
        <f>'SwapDesk — Operations · Merchan'!X16*'SwapDesk — Assumptions · Mercha'!G6/60*'SwapDesk — Assumptions · Commer'!B9</f>
        <v>117.72756611024792</v>
      </c>
      <c r="Y49" s="9">
        <f>'SwapDesk — Operations · Merchan'!Y16*'SwapDesk — Assumptions · Mercha'!G6/60*'SwapDesk — Assumptions · Commer'!B9</f>
        <v>120.4457391269405</v>
      </c>
      <c r="Z49" s="9">
        <f>'SwapDesk — Operations · Merchan'!Z16*'SwapDesk — Assumptions · Mercha'!G6/60*'SwapDesk — Assumptions · Commer'!B9</f>
        <v>123.08236695313228</v>
      </c>
    </row>
    <row r="50">
      <c r="A50" t="inlineStr" s="5">
        <is>
          <t xml:space="preserve">Onboarding cost</t>
        </is>
      </c>
      <c r="B50" s="6">
        <f>SUM('SwapDesk — Operations · Merchan'!B51,'SwapDesk — Operations · Merchan'!B52)</f>
        <v>0</v>
      </c>
      <c r="C50" s="6">
        <f>SUM('SwapDesk — Operations · Merchan'!C51,'SwapDesk — Operations · Merchan'!C52)</f>
        <v>56.25</v>
      </c>
      <c r="D50" s="6">
        <f>SUM('SwapDesk — Operations · Merchan'!D51,'SwapDesk — Operations · Merchan'!D52)</f>
        <v>56.25</v>
      </c>
      <c r="E50" s="6">
        <f>SUM('SwapDesk — Operations · Merchan'!E51,'SwapDesk — Operations · Merchan'!E52)</f>
        <v>56.25</v>
      </c>
      <c r="F50" s="6">
        <f>SUM('SwapDesk — Operations · Merchan'!F51,'SwapDesk — Operations · Merchan'!F52)</f>
        <v>56.25</v>
      </c>
      <c r="G50" s="6">
        <f>SUM('SwapDesk — Operations · Merchan'!G51,'SwapDesk — Operations · Merchan'!G52)</f>
        <v>56.25</v>
      </c>
      <c r="H50" s="6">
        <f>SUM('SwapDesk — Operations · Merchan'!H51,'SwapDesk — Operations · Merchan'!H52)</f>
        <v>56.25</v>
      </c>
      <c r="I50" s="6">
        <f>SUM('SwapDesk — Operations · Merchan'!I51,'SwapDesk — Operations · Merchan'!I52)</f>
        <v>56.25</v>
      </c>
      <c r="J50" s="6">
        <f>SUM('SwapDesk — Operations · Merchan'!J51,'SwapDesk — Operations · Merchan'!J52)</f>
        <v>56.25</v>
      </c>
      <c r="K50" s="6">
        <f>SUM('SwapDesk — Operations · Merchan'!K51,'SwapDesk — Operations · Merchan'!K52)</f>
        <v>56.25</v>
      </c>
      <c r="L50" s="6">
        <f>SUM('SwapDesk — Operations · Merchan'!L51,'SwapDesk — Operations · Merchan'!L52)</f>
        <v>56.25</v>
      </c>
      <c r="M50" s="6">
        <f>SUM('SwapDesk — Operations · Merchan'!M51,'SwapDesk — Operations · Merchan'!M52)</f>
        <v>56.25</v>
      </c>
      <c r="N50" s="6">
        <f>SUM('SwapDesk — Operations · Merchan'!N51,'SwapDesk — Operations · Merchan'!N52)</f>
        <v>56.25</v>
      </c>
      <c r="O50" s="6">
        <f>SUM('SwapDesk — Operations · Merchan'!O51,'SwapDesk — Operations · Merchan'!O52)</f>
        <v>56.25</v>
      </c>
      <c r="P50" s="6">
        <f>SUM('SwapDesk — Operations · Merchan'!P51,'SwapDesk — Operations · Merchan'!P52)</f>
        <v>56.25</v>
      </c>
      <c r="Q50" s="6">
        <f>SUM('SwapDesk — Operations · Merchan'!Q51,'SwapDesk — Operations · Merchan'!Q52)</f>
        <v>56.25</v>
      </c>
      <c r="R50" s="6">
        <f>SUM('SwapDesk — Operations · Merchan'!R51,'SwapDesk — Operations · Merchan'!R52)</f>
        <v>56.25</v>
      </c>
      <c r="S50" s="6">
        <f>SUM('SwapDesk — Operations · Merchan'!S51,'SwapDesk — Operations · Merchan'!S52)</f>
        <v>56.25</v>
      </c>
      <c r="T50" s="6">
        <f>SUM('SwapDesk — Operations · Merchan'!T51,'SwapDesk — Operations · Merchan'!T52)</f>
        <v>56.25</v>
      </c>
      <c r="U50" s="6">
        <f>SUM('SwapDesk — Operations · Merchan'!U51,'SwapDesk — Operations · Merchan'!U52)</f>
        <v>56.25</v>
      </c>
      <c r="V50" s="6">
        <f>SUM('SwapDesk — Operations · Merchan'!V51,'SwapDesk — Operations · Merchan'!V52)</f>
        <v>56.25</v>
      </c>
      <c r="W50" s="6">
        <f>SUM('SwapDesk — Operations · Merchan'!W51,'SwapDesk — Operations · Merchan'!W52)</f>
        <v>56.25</v>
      </c>
      <c r="X50" s="6">
        <f>SUM('SwapDesk — Operations · Merchan'!X51,'SwapDesk — Operations · Merchan'!X52)</f>
        <v>56.25</v>
      </c>
      <c r="Y50" s="6">
        <f>SUM('SwapDesk — Operations · Merchan'!Y51,'SwapDesk — Operations · Merchan'!Y52)</f>
        <v>56.25</v>
      </c>
      <c r="Z50" s="6">
        <f>SUM('SwapDesk — Operations · Merchan'!Z51,'SwapDesk — Operations · Merchan'!Z52)</f>
        <v>56.25</v>
      </c>
    </row>
    <row r="51" outlineLevel="1">
      <c r="A51" t="inlineStr" s="16">
        <is>
          <t xml:space="preserve">Growing shop</t>
        </is>
      </c>
      <c r="B51" s="9">
        <f>0</f>
        <v>0</v>
      </c>
      <c r="C51" s="9">
        <f>'SwapDesk — Operations · Merchan'!C9*'SwapDesk — Assumptions · Commer'!B10/60*'SwapDesk — Assumptions · Commer'!B9</f>
        <v>18.75</v>
      </c>
      <c r="D51" s="9">
        <f>'SwapDesk — Operations · Merchan'!D9*'SwapDesk — Assumptions · Commer'!B10/60*'SwapDesk — Assumptions · Commer'!B9</f>
        <v>18.75</v>
      </c>
      <c r="E51" s="9">
        <f>'SwapDesk — Operations · Merchan'!E9*'SwapDesk — Assumptions · Commer'!B10/60*'SwapDesk — Assumptions · Commer'!B9</f>
        <v>18.75</v>
      </c>
      <c r="F51" s="9">
        <f>'SwapDesk — Operations · Merchan'!F9*'SwapDesk — Assumptions · Commer'!B10/60*'SwapDesk — Assumptions · Commer'!B9</f>
        <v>18.75</v>
      </c>
      <c r="G51" s="9">
        <f>'SwapDesk — Operations · Merchan'!G9*'SwapDesk — Assumptions · Commer'!B10/60*'SwapDesk — Assumptions · Commer'!B9</f>
        <v>18.75</v>
      </c>
      <c r="H51" s="9">
        <f>'SwapDesk — Operations · Merchan'!H9*'SwapDesk — Assumptions · Commer'!B10/60*'SwapDesk — Assumptions · Commer'!B9</f>
        <v>18.75</v>
      </c>
      <c r="I51" s="9">
        <f>'SwapDesk — Operations · Merchan'!I9*'SwapDesk — Assumptions · Commer'!B10/60*'SwapDesk — Assumptions · Commer'!B9</f>
        <v>18.75</v>
      </c>
      <c r="J51" s="9">
        <f>'SwapDesk — Operations · Merchan'!J9*'SwapDesk — Assumptions · Commer'!B10/60*'SwapDesk — Assumptions · Commer'!B9</f>
        <v>18.75</v>
      </c>
      <c r="K51" s="9">
        <f>'SwapDesk — Operations · Merchan'!K9*'SwapDesk — Assumptions · Commer'!B10/60*'SwapDesk — Assumptions · Commer'!B9</f>
        <v>18.75</v>
      </c>
      <c r="L51" s="9">
        <f>'SwapDesk — Operations · Merchan'!L9*'SwapDesk — Assumptions · Commer'!B10/60*'SwapDesk — Assumptions · Commer'!B9</f>
        <v>18.75</v>
      </c>
      <c r="M51" s="9">
        <f>'SwapDesk — Operations · Merchan'!M9*'SwapDesk — Assumptions · Commer'!B10/60*'SwapDesk — Assumptions · Commer'!B9</f>
        <v>18.75</v>
      </c>
      <c r="N51" s="9">
        <f>'SwapDesk — Operations · Merchan'!N9*'SwapDesk — Assumptions · Commer'!B10/60*'SwapDesk — Assumptions · Commer'!B9</f>
        <v>18.75</v>
      </c>
      <c r="O51" s="9">
        <f>'SwapDesk — Operations · Merchan'!O9*'SwapDesk — Assumptions · Commer'!B10/60*'SwapDesk — Assumptions · Commer'!B9</f>
        <v>18.75</v>
      </c>
      <c r="P51" s="9">
        <f>'SwapDesk — Operations · Merchan'!P9*'SwapDesk — Assumptions · Commer'!B10/60*'SwapDesk — Assumptions · Commer'!B9</f>
        <v>18.75</v>
      </c>
      <c r="Q51" s="9">
        <f>'SwapDesk — Operations · Merchan'!Q9*'SwapDesk — Assumptions · Commer'!B10/60*'SwapDesk — Assumptions · Commer'!B9</f>
        <v>18.75</v>
      </c>
      <c r="R51" s="9">
        <f>'SwapDesk — Operations · Merchan'!R9*'SwapDesk — Assumptions · Commer'!B10/60*'SwapDesk — Assumptions · Commer'!B9</f>
        <v>18.75</v>
      </c>
      <c r="S51" s="9">
        <f>'SwapDesk — Operations · Merchan'!S9*'SwapDesk — Assumptions · Commer'!B10/60*'SwapDesk — Assumptions · Commer'!B9</f>
        <v>18.75</v>
      </c>
      <c r="T51" s="9">
        <f>'SwapDesk — Operations · Merchan'!T9*'SwapDesk — Assumptions · Commer'!B10/60*'SwapDesk — Assumptions · Commer'!B9</f>
        <v>18.75</v>
      </c>
      <c r="U51" s="9">
        <f>'SwapDesk — Operations · Merchan'!U9*'SwapDesk — Assumptions · Commer'!B10/60*'SwapDesk — Assumptions · Commer'!B9</f>
        <v>18.75</v>
      </c>
      <c r="V51" s="9">
        <f>'SwapDesk — Operations · Merchan'!V9*'SwapDesk — Assumptions · Commer'!B10/60*'SwapDesk — Assumptions · Commer'!B9</f>
        <v>18.75</v>
      </c>
      <c r="W51" s="9">
        <f>'SwapDesk — Operations · Merchan'!W9*'SwapDesk — Assumptions · Commer'!B10/60*'SwapDesk — Assumptions · Commer'!B9</f>
        <v>18.75</v>
      </c>
      <c r="X51" s="9">
        <f>'SwapDesk — Operations · Merchan'!X9*'SwapDesk — Assumptions · Commer'!B10/60*'SwapDesk — Assumptions · Commer'!B9</f>
        <v>18.75</v>
      </c>
      <c r="Y51" s="9">
        <f>'SwapDesk — Operations · Merchan'!Y9*'SwapDesk — Assumptions · Commer'!B10/60*'SwapDesk — Assumptions · Commer'!B9</f>
        <v>18.75</v>
      </c>
      <c r="Z51" s="9">
        <f>'SwapDesk — Operations · Merchan'!Z9*'SwapDesk — Assumptions · Commer'!B10/60*'SwapDesk — Assumptions · Commer'!B9</f>
        <v>18.75</v>
      </c>
    </row>
    <row r="52" outlineLevel="1">
      <c r="A52" t="inlineStr" s="16">
        <is>
          <t xml:space="preserve">Small shop</t>
        </is>
      </c>
      <c r="B52" s="9">
        <f>0</f>
        <v>0</v>
      </c>
      <c r="C52" s="9">
        <f>'SwapDesk — Operations · Merchan'!C10*'SwapDesk — Assumptions · Commer'!B10/60*'SwapDesk — Assumptions · Commer'!B9</f>
        <v>37.5</v>
      </c>
      <c r="D52" s="9">
        <f>'SwapDesk — Operations · Merchan'!D10*'SwapDesk — Assumptions · Commer'!B10/60*'SwapDesk — Assumptions · Commer'!B9</f>
        <v>37.5</v>
      </c>
      <c r="E52" s="9">
        <f>'SwapDesk — Operations · Merchan'!E10*'SwapDesk — Assumptions · Commer'!B10/60*'SwapDesk — Assumptions · Commer'!B9</f>
        <v>37.5</v>
      </c>
      <c r="F52" s="9">
        <f>'SwapDesk — Operations · Merchan'!F10*'SwapDesk — Assumptions · Commer'!B10/60*'SwapDesk — Assumptions · Commer'!B9</f>
        <v>37.5</v>
      </c>
      <c r="G52" s="9">
        <f>'SwapDesk — Operations · Merchan'!G10*'SwapDesk — Assumptions · Commer'!B10/60*'SwapDesk — Assumptions · Commer'!B9</f>
        <v>37.5</v>
      </c>
      <c r="H52" s="9">
        <f>'SwapDesk — Operations · Merchan'!H10*'SwapDesk — Assumptions · Commer'!B10/60*'SwapDesk — Assumptions · Commer'!B9</f>
        <v>37.5</v>
      </c>
      <c r="I52" s="9">
        <f>'SwapDesk — Operations · Merchan'!I10*'SwapDesk — Assumptions · Commer'!B10/60*'SwapDesk — Assumptions · Commer'!B9</f>
        <v>37.5</v>
      </c>
      <c r="J52" s="9">
        <f>'SwapDesk — Operations · Merchan'!J10*'SwapDesk — Assumptions · Commer'!B10/60*'SwapDesk — Assumptions · Commer'!B9</f>
        <v>37.5</v>
      </c>
      <c r="K52" s="9">
        <f>'SwapDesk — Operations · Merchan'!K10*'SwapDesk — Assumptions · Commer'!B10/60*'SwapDesk — Assumptions · Commer'!B9</f>
        <v>37.5</v>
      </c>
      <c r="L52" s="9">
        <f>'SwapDesk — Operations · Merchan'!L10*'SwapDesk — Assumptions · Commer'!B10/60*'SwapDesk — Assumptions · Commer'!B9</f>
        <v>37.5</v>
      </c>
      <c r="M52" s="9">
        <f>'SwapDesk — Operations · Merchan'!M10*'SwapDesk — Assumptions · Commer'!B10/60*'SwapDesk — Assumptions · Commer'!B9</f>
        <v>37.5</v>
      </c>
      <c r="N52" s="9">
        <f>'SwapDesk — Operations · Merchan'!N10*'SwapDesk — Assumptions · Commer'!B10/60*'SwapDesk — Assumptions · Commer'!B9</f>
        <v>37.5</v>
      </c>
      <c r="O52" s="9">
        <f>'SwapDesk — Operations · Merchan'!O10*'SwapDesk — Assumptions · Commer'!B10/60*'SwapDesk — Assumptions · Commer'!B9</f>
        <v>37.5</v>
      </c>
      <c r="P52" s="9">
        <f>'SwapDesk — Operations · Merchan'!P10*'SwapDesk — Assumptions · Commer'!B10/60*'SwapDesk — Assumptions · Commer'!B9</f>
        <v>37.5</v>
      </c>
      <c r="Q52" s="9">
        <f>'SwapDesk — Operations · Merchan'!Q10*'SwapDesk — Assumptions · Commer'!B10/60*'SwapDesk — Assumptions · Commer'!B9</f>
        <v>37.5</v>
      </c>
      <c r="R52" s="9">
        <f>'SwapDesk — Operations · Merchan'!R10*'SwapDesk — Assumptions · Commer'!B10/60*'SwapDesk — Assumptions · Commer'!B9</f>
        <v>37.5</v>
      </c>
      <c r="S52" s="9">
        <f>'SwapDesk — Operations · Merchan'!S10*'SwapDesk — Assumptions · Commer'!B10/60*'SwapDesk — Assumptions · Commer'!B9</f>
        <v>37.5</v>
      </c>
      <c r="T52" s="9">
        <f>'SwapDesk — Operations · Merchan'!T10*'SwapDesk — Assumptions · Commer'!B10/60*'SwapDesk — Assumptions · Commer'!B9</f>
        <v>37.5</v>
      </c>
      <c r="U52" s="9">
        <f>'SwapDesk — Operations · Merchan'!U10*'SwapDesk — Assumptions · Commer'!B10/60*'SwapDesk — Assumptions · Commer'!B9</f>
        <v>37.5</v>
      </c>
      <c r="V52" s="9">
        <f>'SwapDesk — Operations · Merchan'!V10*'SwapDesk — Assumptions · Commer'!B10/60*'SwapDesk — Assumptions · Commer'!B9</f>
        <v>37.5</v>
      </c>
      <c r="W52" s="9">
        <f>'SwapDesk — Operations · Merchan'!W10*'SwapDesk — Assumptions · Commer'!B10/60*'SwapDesk — Assumptions · Commer'!B9</f>
        <v>37.5</v>
      </c>
      <c r="X52" s="9">
        <f>'SwapDesk — Operations · Merchan'!X10*'SwapDesk — Assumptions · Commer'!B10/60*'SwapDesk — Assumptions · Commer'!B9</f>
        <v>37.5</v>
      </c>
      <c r="Y52" s="9">
        <f>'SwapDesk — Operations · Merchan'!Y10*'SwapDesk — Assumptions · Commer'!B10/60*'SwapDesk — Assumptions · Commer'!B9</f>
        <v>37.5</v>
      </c>
      <c r="Z52" s="9">
        <f>'SwapDesk — Operations · Merchan'!Z10*'SwapDesk — Assumptions · Commer'!B10/60*'SwapDesk — Assumptions · Commer'!B9</f>
        <v>37.5</v>
      </c>
    </row>
    <row r="53">
      <c r="A53" t="inlineStr" s="5">
        <is>
          <t xml:space="preserve">Acquisition spending</t>
        </is>
      </c>
      <c r="B53" s="6">
        <f>SUM('SwapDesk — Operations · Merchan'!B54,'SwapDesk — Operations · Merchan'!B55)</f>
        <v>0</v>
      </c>
      <c r="C53" s="6">
        <f>SUM('SwapDesk — Operations · Merchan'!C54,'SwapDesk — Operations · Merchan'!C55)</f>
        <v>150</v>
      </c>
      <c r="D53" s="6">
        <f>SUM('SwapDesk — Operations · Merchan'!D54,'SwapDesk — Operations · Merchan'!D55)</f>
        <v>150</v>
      </c>
      <c r="E53" s="6">
        <f>SUM('SwapDesk — Operations · Merchan'!E54,'SwapDesk — Operations · Merchan'!E55)</f>
        <v>150</v>
      </c>
      <c r="F53" s="6">
        <f>SUM('SwapDesk — Operations · Merchan'!F54,'SwapDesk — Operations · Merchan'!F55)</f>
        <v>150</v>
      </c>
      <c r="G53" s="6">
        <f>SUM('SwapDesk — Operations · Merchan'!G54,'SwapDesk — Operations · Merchan'!G55)</f>
        <v>150</v>
      </c>
      <c r="H53" s="6">
        <f>SUM('SwapDesk — Operations · Merchan'!H54,'SwapDesk — Operations · Merchan'!H55)</f>
        <v>150</v>
      </c>
      <c r="I53" s="6">
        <f>SUM('SwapDesk — Operations · Merchan'!I54,'SwapDesk — Operations · Merchan'!I55)</f>
        <v>150</v>
      </c>
      <c r="J53" s="6">
        <f>SUM('SwapDesk — Operations · Merchan'!J54,'SwapDesk — Operations · Merchan'!J55)</f>
        <v>150</v>
      </c>
      <c r="K53" s="6">
        <f>SUM('SwapDesk — Operations · Merchan'!K54,'SwapDesk — Operations · Merchan'!K55)</f>
        <v>150</v>
      </c>
      <c r="L53" s="6">
        <f>SUM('SwapDesk — Operations · Merchan'!L54,'SwapDesk — Operations · Merchan'!L55)</f>
        <v>150</v>
      </c>
      <c r="M53" s="6">
        <f>SUM('SwapDesk — Operations · Merchan'!M54,'SwapDesk — Operations · Merchan'!M55)</f>
        <v>150</v>
      </c>
      <c r="N53" s="6">
        <f>SUM('SwapDesk — Operations · Merchan'!N54,'SwapDesk — Operations · Merchan'!N55)</f>
        <v>150</v>
      </c>
      <c r="O53" s="6">
        <f>SUM('SwapDesk — Operations · Merchan'!O54,'SwapDesk — Operations · Merchan'!O55)</f>
        <v>150</v>
      </c>
      <c r="P53" s="6">
        <f>SUM('SwapDesk — Operations · Merchan'!P54,'SwapDesk — Operations · Merchan'!P55)</f>
        <v>150</v>
      </c>
      <c r="Q53" s="6">
        <f>SUM('SwapDesk — Operations · Merchan'!Q54,'SwapDesk — Operations · Merchan'!Q55)</f>
        <v>150</v>
      </c>
      <c r="R53" s="6">
        <f>SUM('SwapDesk — Operations · Merchan'!R54,'SwapDesk — Operations · Merchan'!R55)</f>
        <v>150</v>
      </c>
      <c r="S53" s="6">
        <f>SUM('SwapDesk — Operations · Merchan'!S54,'SwapDesk — Operations · Merchan'!S55)</f>
        <v>150</v>
      </c>
      <c r="T53" s="6">
        <f>SUM('SwapDesk — Operations · Merchan'!T54,'SwapDesk — Operations · Merchan'!T55)</f>
        <v>150</v>
      </c>
      <c r="U53" s="6">
        <f>SUM('SwapDesk — Operations · Merchan'!U54,'SwapDesk — Operations · Merchan'!U55)</f>
        <v>150</v>
      </c>
      <c r="V53" s="6">
        <f>SUM('SwapDesk — Operations · Merchan'!V54,'SwapDesk — Operations · Merchan'!V55)</f>
        <v>150</v>
      </c>
      <c r="W53" s="6">
        <f>SUM('SwapDesk — Operations · Merchan'!W54,'SwapDesk — Operations · Merchan'!W55)</f>
        <v>150</v>
      </c>
      <c r="X53" s="6">
        <f>SUM('SwapDesk — Operations · Merchan'!X54,'SwapDesk — Operations · Merchan'!X55)</f>
        <v>150</v>
      </c>
      <c r="Y53" s="6">
        <f>SUM('SwapDesk — Operations · Merchan'!Y54,'SwapDesk — Operations · Merchan'!Y55)</f>
        <v>150</v>
      </c>
      <c r="Z53" s="6">
        <f>SUM('SwapDesk — Operations · Merchan'!Z54,'SwapDesk — Operations · Merchan'!Z55)</f>
        <v>150</v>
      </c>
    </row>
    <row r="54" outlineLevel="1">
      <c r="A54" t="inlineStr" s="16">
        <is>
          <t xml:space="preserve">Growing shop</t>
        </is>
      </c>
      <c r="B54" s="9">
        <f>0</f>
        <v>0</v>
      </c>
      <c r="C54" s="9">
        <f>'SwapDesk — Operations · Merchan'!C9*'SwapDesk — Assumptions · Commer'!B11</f>
        <v>50</v>
      </c>
      <c r="D54" s="9">
        <f>'SwapDesk — Operations · Merchan'!D9*'SwapDesk — Assumptions · Commer'!B11</f>
        <v>50</v>
      </c>
      <c r="E54" s="9">
        <f>'SwapDesk — Operations · Merchan'!E9*'SwapDesk — Assumptions · Commer'!B11</f>
        <v>50</v>
      </c>
      <c r="F54" s="9">
        <f>'SwapDesk — Operations · Merchan'!F9*'SwapDesk — Assumptions · Commer'!B11</f>
        <v>50</v>
      </c>
      <c r="G54" s="9">
        <f>'SwapDesk — Operations · Merchan'!G9*'SwapDesk — Assumptions · Commer'!B11</f>
        <v>50</v>
      </c>
      <c r="H54" s="9">
        <f>'SwapDesk — Operations · Merchan'!H9*'SwapDesk — Assumptions · Commer'!B11</f>
        <v>50</v>
      </c>
      <c r="I54" s="9">
        <f>'SwapDesk — Operations · Merchan'!I9*'SwapDesk — Assumptions · Commer'!B11</f>
        <v>50</v>
      </c>
      <c r="J54" s="9">
        <f>'SwapDesk — Operations · Merchan'!J9*'SwapDesk — Assumptions · Commer'!B11</f>
        <v>50</v>
      </c>
      <c r="K54" s="9">
        <f>'SwapDesk — Operations · Merchan'!K9*'SwapDesk — Assumptions · Commer'!B11</f>
        <v>50</v>
      </c>
      <c r="L54" s="9">
        <f>'SwapDesk — Operations · Merchan'!L9*'SwapDesk — Assumptions · Commer'!B11</f>
        <v>50</v>
      </c>
      <c r="M54" s="9">
        <f>'SwapDesk — Operations · Merchan'!M9*'SwapDesk — Assumptions · Commer'!B11</f>
        <v>50</v>
      </c>
      <c r="N54" s="9">
        <f>'SwapDesk — Operations · Merchan'!N9*'SwapDesk — Assumptions · Commer'!B11</f>
        <v>50</v>
      </c>
      <c r="O54" s="9">
        <f>'SwapDesk — Operations · Merchan'!O9*'SwapDesk — Assumptions · Commer'!B11</f>
        <v>50</v>
      </c>
      <c r="P54" s="9">
        <f>'SwapDesk — Operations · Merchan'!P9*'SwapDesk — Assumptions · Commer'!B11</f>
        <v>50</v>
      </c>
      <c r="Q54" s="9">
        <f>'SwapDesk — Operations · Merchan'!Q9*'SwapDesk — Assumptions · Commer'!B11</f>
        <v>50</v>
      </c>
      <c r="R54" s="9">
        <f>'SwapDesk — Operations · Merchan'!R9*'SwapDesk — Assumptions · Commer'!B11</f>
        <v>50</v>
      </c>
      <c r="S54" s="9">
        <f>'SwapDesk — Operations · Merchan'!S9*'SwapDesk — Assumptions · Commer'!B11</f>
        <v>50</v>
      </c>
      <c r="T54" s="9">
        <f>'SwapDesk — Operations · Merchan'!T9*'SwapDesk — Assumptions · Commer'!B11</f>
        <v>50</v>
      </c>
      <c r="U54" s="9">
        <f>'SwapDesk — Operations · Merchan'!U9*'SwapDesk — Assumptions · Commer'!B11</f>
        <v>50</v>
      </c>
      <c r="V54" s="9">
        <f>'SwapDesk — Operations · Merchan'!V9*'SwapDesk — Assumptions · Commer'!B11</f>
        <v>50</v>
      </c>
      <c r="W54" s="9">
        <f>'SwapDesk — Operations · Merchan'!W9*'SwapDesk — Assumptions · Commer'!B11</f>
        <v>50</v>
      </c>
      <c r="X54" s="9">
        <f>'SwapDesk — Operations · Merchan'!X9*'SwapDesk — Assumptions · Commer'!B11</f>
        <v>50</v>
      </c>
      <c r="Y54" s="9">
        <f>'SwapDesk — Operations · Merchan'!Y9*'SwapDesk — Assumptions · Commer'!B11</f>
        <v>50</v>
      </c>
      <c r="Z54" s="9">
        <f>'SwapDesk — Operations · Merchan'!Z9*'SwapDesk — Assumptions · Commer'!B11</f>
        <v>50</v>
      </c>
    </row>
    <row r="55" outlineLevel="1">
      <c r="A55" t="inlineStr" s="16">
        <is>
          <t xml:space="preserve">Small shop</t>
        </is>
      </c>
      <c r="B55" s="9">
        <f>0</f>
        <v>0</v>
      </c>
      <c r="C55" s="9">
        <f>'SwapDesk — Operations · Merchan'!C10*'SwapDesk — Assumptions · Commer'!B11</f>
        <v>100</v>
      </c>
      <c r="D55" s="9">
        <f>'SwapDesk — Operations · Merchan'!D10*'SwapDesk — Assumptions · Commer'!B11</f>
        <v>100</v>
      </c>
      <c r="E55" s="9">
        <f>'SwapDesk — Operations · Merchan'!E10*'SwapDesk — Assumptions · Commer'!B11</f>
        <v>100</v>
      </c>
      <c r="F55" s="9">
        <f>'SwapDesk — Operations · Merchan'!F10*'SwapDesk — Assumptions · Commer'!B11</f>
        <v>100</v>
      </c>
      <c r="G55" s="9">
        <f>'SwapDesk — Operations · Merchan'!G10*'SwapDesk — Assumptions · Commer'!B11</f>
        <v>100</v>
      </c>
      <c r="H55" s="9">
        <f>'SwapDesk — Operations · Merchan'!H10*'SwapDesk — Assumptions · Commer'!B11</f>
        <v>100</v>
      </c>
      <c r="I55" s="9">
        <f>'SwapDesk — Operations · Merchan'!I10*'SwapDesk — Assumptions · Commer'!B11</f>
        <v>100</v>
      </c>
      <c r="J55" s="9">
        <f>'SwapDesk — Operations · Merchan'!J10*'SwapDesk — Assumptions · Commer'!B11</f>
        <v>100</v>
      </c>
      <c r="K55" s="9">
        <f>'SwapDesk — Operations · Merchan'!K10*'SwapDesk — Assumptions · Commer'!B11</f>
        <v>100</v>
      </c>
      <c r="L55" s="9">
        <f>'SwapDesk — Operations · Merchan'!L10*'SwapDesk — Assumptions · Commer'!B11</f>
        <v>100</v>
      </c>
      <c r="M55" s="9">
        <f>'SwapDesk — Operations · Merchan'!M10*'SwapDesk — Assumptions · Commer'!B11</f>
        <v>100</v>
      </c>
      <c r="N55" s="9">
        <f>'SwapDesk — Operations · Merchan'!N10*'SwapDesk — Assumptions · Commer'!B11</f>
        <v>100</v>
      </c>
      <c r="O55" s="9">
        <f>'SwapDesk — Operations · Merchan'!O10*'SwapDesk — Assumptions · Commer'!B11</f>
        <v>100</v>
      </c>
      <c r="P55" s="9">
        <f>'SwapDesk — Operations · Merchan'!P10*'SwapDesk — Assumptions · Commer'!B11</f>
        <v>100</v>
      </c>
      <c r="Q55" s="9">
        <f>'SwapDesk — Operations · Merchan'!Q10*'SwapDesk — Assumptions · Commer'!B11</f>
        <v>100</v>
      </c>
      <c r="R55" s="9">
        <f>'SwapDesk — Operations · Merchan'!R10*'SwapDesk — Assumptions · Commer'!B11</f>
        <v>100</v>
      </c>
      <c r="S55" s="9">
        <f>'SwapDesk — Operations · Merchan'!S10*'SwapDesk — Assumptions · Commer'!B11</f>
        <v>100</v>
      </c>
      <c r="T55" s="9">
        <f>'SwapDesk — Operations · Merchan'!T10*'SwapDesk — Assumptions · Commer'!B11</f>
        <v>100</v>
      </c>
      <c r="U55" s="9">
        <f>'SwapDesk — Operations · Merchan'!U10*'SwapDesk — Assumptions · Commer'!B11</f>
        <v>100</v>
      </c>
      <c r="V55" s="9">
        <f>'SwapDesk — Operations · Merchan'!V10*'SwapDesk — Assumptions · Commer'!B11</f>
        <v>100</v>
      </c>
      <c r="W55" s="9">
        <f>'SwapDesk — Operations · Merchan'!W10*'SwapDesk — Assumptions · Commer'!B11</f>
        <v>100</v>
      </c>
      <c r="X55" s="9">
        <f>'SwapDesk — Operations · Merchan'!X10*'SwapDesk — Assumptions · Commer'!B11</f>
        <v>100</v>
      </c>
      <c r="Y55" s="9">
        <f>'SwapDesk — Operations · Merchan'!Y10*'SwapDesk — Assumptions · Commer'!B11</f>
        <v>100</v>
      </c>
      <c r="Z55" s="9">
        <f>'SwapDesk — Operations · Merchan'!Z10*'SwapDesk — Assumptions · Commer'!B11</f>
        <v>100</v>
      </c>
    </row>
  </sheetData>
  <mergeCells count="1">
    <mergeCell ref="A1:Z1"/>
  </mergeCells>
</worksheet>
</file>

<file path=xl/worksheets/sheet6.xml><?xml version="1.0" encoding="utf-8"?>
<worksheet xmlns="http://schemas.openxmlformats.org/spreadsheetml/2006/main">
  <dimension ref="A1:Y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SwapDesk — Operations · Unit economics by merchant segment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5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  <c r="Q4" t="inlineStr" s="15">
        <is>
          <t xml:space="preserve">2028-01</t>
        </is>
      </c>
      <c r="R4" t="inlineStr" s="4">
        <is>
          <t xml:space="preserve">2028-02</t>
        </is>
      </c>
      <c r="S4" t="inlineStr" s="4">
        <is>
          <t xml:space="preserve">2028-03</t>
        </is>
      </c>
      <c r="T4" t="inlineStr" s="15">
        <is>
          <t xml:space="preserve">2028-04</t>
        </is>
      </c>
      <c r="U4" t="inlineStr" s="4">
        <is>
          <t xml:space="preserve">2028-05</t>
        </is>
      </c>
      <c r="V4" t="inlineStr" s="4">
        <is>
          <t xml:space="preserve">2028-06</t>
        </is>
      </c>
      <c r="W4" t="inlineStr" s="15">
        <is>
          <t xml:space="preserve">2028-07</t>
        </is>
      </c>
      <c r="X4" t="inlineStr" s="4">
        <is>
          <t xml:space="preserve">2028-08</t>
        </is>
      </c>
      <c r="Y4" t="inlineStr" s="4">
        <is>
          <t xml:space="preserve">2028-09</t>
        </is>
      </c>
    </row>
    <row r="5">
      <c r="A5" t="inlineStr" s="5">
        <is>
          <t xml:space="preserve">Revenue per store</t>
        </is>
      </c>
      <c r="B5" s="6">
        <f>IFERROR('SwapDesk — Operations · Merchan'!C38/'SwapDesk — Operations · Merchan'!C14,"")</f>
        <v>72.68231046931409</v>
      </c>
      <c r="C5" s="6">
        <f>IFERROR('SwapDesk — Operations · Merchan'!D38/'SwapDesk — Operations · Merchan'!D14,"")</f>
        <v>73.29386664997443</v>
      </c>
      <c r="D5" s="6">
        <f>IFERROR('SwapDesk — Operations · Merchan'!E38/'SwapDesk — Operations · Merchan'!E14,"")</f>
        <v>73.77237098254534</v>
      </c>
      <c r="E5" s="6">
        <f>IFERROR('SwapDesk — Operations · Merchan'!F38/'SwapDesk — Operations · Merchan'!F14,"")</f>
        <v>74.16229820874689</v>
      </c>
      <c r="F5" s="6">
        <f>IFERROR('SwapDesk — Operations · Merchan'!G38/'SwapDesk — Operations · Merchan'!G14,"")</f>
        <v>74.49020725714905</v>
      </c>
      <c r="G5" s="6">
        <f>IFERROR('SwapDesk — Operations · Merchan'!H38/'SwapDesk — Operations · Merchan'!H14,"")</f>
        <v>74.77293675450143</v>
      </c>
      <c r="H5" s="6">
        <f>IFERROR('SwapDesk — Operations · Merchan'!I38/'SwapDesk — Operations · Merchan'!I14,"")</f>
        <v>75.02167886307585</v>
      </c>
      <c r="I5" s="6">
        <f>IFERROR('SwapDesk — Operations · Merchan'!J38/'SwapDesk — Operations · Merchan'!J14,"")</f>
        <v>75.24416275918395</v>
      </c>
      <c r="J5" s="6">
        <f>IFERROR('SwapDesk — Operations · Merchan'!K38/'SwapDesk — Operations · Merchan'!K14,"")</f>
        <v>75.44589765705989</v>
      </c>
      <c r="K5" s="6">
        <f>IFERROR('SwapDesk — Operations · Merchan'!L38/'SwapDesk — Operations · Merchan'!L14,"")</f>
        <v>75.63091630384953</v>
      </c>
      <c r="L5" s="6">
        <f>IFERROR('SwapDesk — Operations · Merchan'!M38/'SwapDesk — Operations · Merchan'!M14,"")</f>
        <v>75.80223844487418</v>
      </c>
      <c r="M5" s="6">
        <f>IFERROR('SwapDesk — Operations · Merchan'!N38/'SwapDesk — Operations · Merchan'!N14,"")</f>
        <v>75.96217003975576</v>
      </c>
      <c r="N5" s="6">
        <f>IFERROR('SwapDesk — Operations · Merchan'!O38/'SwapDesk — Operations · Merchan'!O14,"")</f>
        <v>76.1125023521053</v>
      </c>
      <c r="O5" s="6">
        <f>IFERROR('SwapDesk — Operations · Merchan'!P38/'SwapDesk — Operations · Merchan'!P14,"")</f>
        <v>76.25464793712845</v>
      </c>
      <c r="P5" s="6">
        <f>IFERROR('SwapDesk — Operations · Merchan'!Q38/'SwapDesk — Operations · Merchan'!Q14,"")</f>
        <v>76.38973569001627</v>
      </c>
      <c r="Q5" s="6">
        <f>IFERROR('SwapDesk — Operations · Merchan'!R38/'SwapDesk — Operations · Merchan'!R14,"")</f>
        <v>76.51867864690226</v>
      </c>
      <c r="R5" s="6">
        <f>IFERROR('SwapDesk — Operations · Merchan'!S38/'SwapDesk — Operations · Merchan'!S14,"")</f>
        <v>76.64222323552957</v>
      </c>
      <c r="S5" s="6">
        <f>IFERROR('SwapDesk — Operations · Merchan'!T38/'SwapDesk — Operations · Merchan'!T14,"")</f>
        <v>76.76098563849153</v>
      </c>
      <c r="T5" s="6">
        <f>IFERROR('SwapDesk — Operations · Merchan'!U38/'SwapDesk — Operations · Merchan'!U14,"")</f>
        <v>76.87547903879656</v>
      </c>
      <c r="U5" s="6">
        <f>IFERROR('SwapDesk — Operations · Merchan'!V38/'SwapDesk — Operations · Merchan'!V14,"")</f>
        <v>76.98613430781859</v>
      </c>
      <c r="V5" s="6">
        <f>IFERROR('SwapDesk — Operations · Merchan'!W38/'SwapDesk — Operations · Merchan'!W14,"")</f>
        <v>77.09331590586888</v>
      </c>
      <c r="W5" s="6">
        <f>IFERROR('SwapDesk — Operations · Merchan'!X38/'SwapDesk — Operations · Merchan'!X14,"")</f>
        <v>77.19733423975472</v>
      </c>
      <c r="X5" s="6">
        <f>IFERROR('SwapDesk — Operations · Merchan'!Y38/'SwapDesk — Operations · Merchan'!Y14,"")</f>
        <v>77.29845536527203</v>
      </c>
      <c r="Y5" s="6">
        <f>IFERROR('SwapDesk — Operations · Merchan'!Z38/'SwapDesk — Operations · Merchan'!Z14,"")</f>
        <v>77.39690867703911</v>
      </c>
    </row>
    <row r="6" outlineLevel="1">
      <c r="A6" t="inlineStr" s="16">
        <is>
          <t xml:space="preserve">Growing shop</t>
        </is>
      </c>
      <c r="B6" s="9">
        <f>IFERROR('SwapDesk — Operations · Merchan'!C39/'SwapDesk — Operations · Merchan'!C15,"")</f>
        <v>129.00000000000003</v>
      </c>
      <c r="C6" s="9">
        <f>IFERROR('SwapDesk — Operations · Merchan'!D39/'SwapDesk — Operations · Merchan'!D15,"")</f>
        <v>129</v>
      </c>
      <c r="D6" s="9">
        <f>IFERROR('SwapDesk — Operations · Merchan'!E39/'SwapDesk — Operations · Merchan'!E15,"")</f>
        <v>129</v>
      </c>
      <c r="E6" s="9">
        <f>IFERROR('SwapDesk — Operations · Merchan'!F39/'SwapDesk — Operations · Merchan'!F15,"")</f>
        <v>129</v>
      </c>
      <c r="F6" s="9">
        <f>IFERROR('SwapDesk — Operations · Merchan'!G39/'SwapDesk — Operations · Merchan'!G15,"")</f>
        <v>129</v>
      </c>
      <c r="G6" s="9">
        <f>IFERROR('SwapDesk — Operations · Merchan'!H39/'SwapDesk — Operations · Merchan'!H15,"")</f>
        <v>129</v>
      </c>
      <c r="H6" s="9">
        <f>IFERROR('SwapDesk — Operations · Merchan'!I39/'SwapDesk — Operations · Merchan'!I15,"")</f>
        <v>129</v>
      </c>
      <c r="I6" s="9">
        <f>IFERROR('SwapDesk — Operations · Merchan'!J39/'SwapDesk — Operations · Merchan'!J15,"")</f>
        <v>129</v>
      </c>
      <c r="J6" s="9">
        <f>IFERROR('SwapDesk — Operations · Merchan'!K39/'SwapDesk — Operations · Merchan'!K15,"")</f>
        <v>129</v>
      </c>
      <c r="K6" s="9">
        <f>IFERROR('SwapDesk — Operations · Merchan'!L39/'SwapDesk — Operations · Merchan'!L15,"")</f>
        <v>129</v>
      </c>
      <c r="L6" s="9">
        <f>IFERROR('SwapDesk — Operations · Merchan'!M39/'SwapDesk — Operations · Merchan'!M15,"")</f>
        <v>129</v>
      </c>
      <c r="M6" s="9">
        <f>IFERROR('SwapDesk — Operations · Merchan'!N39/'SwapDesk — Operations · Merchan'!N15,"")</f>
        <v>129</v>
      </c>
      <c r="N6" s="9">
        <f>IFERROR('SwapDesk — Operations · Merchan'!O39/'SwapDesk — Operations · Merchan'!O15,"")</f>
        <v>129</v>
      </c>
      <c r="O6" s="9">
        <f>IFERROR('SwapDesk — Operations · Merchan'!P39/'SwapDesk — Operations · Merchan'!P15,"")</f>
        <v>129</v>
      </c>
      <c r="P6" s="9">
        <f>IFERROR('SwapDesk — Operations · Merchan'!Q39/'SwapDesk — Operations · Merchan'!Q15,"")</f>
        <v>129</v>
      </c>
      <c r="Q6" s="9">
        <f>IFERROR('SwapDesk — Operations · Merchan'!R39/'SwapDesk — Operations · Merchan'!R15,"")</f>
        <v>129</v>
      </c>
      <c r="R6" s="9">
        <f>IFERROR('SwapDesk — Operations · Merchan'!S39/'SwapDesk — Operations · Merchan'!S15,"")</f>
        <v>129</v>
      </c>
      <c r="S6" s="9">
        <f>IFERROR('SwapDesk — Operations · Merchan'!T39/'SwapDesk — Operations · Merchan'!T15,"")</f>
        <v>129</v>
      </c>
      <c r="T6" s="9">
        <f>IFERROR('SwapDesk — Operations · Merchan'!U39/'SwapDesk — Operations · Merchan'!U15,"")</f>
        <v>129</v>
      </c>
      <c r="U6" s="9">
        <f>IFERROR('SwapDesk — Operations · Merchan'!V39/'SwapDesk — Operations · Merchan'!V15,"")</f>
        <v>129</v>
      </c>
      <c r="V6" s="9">
        <f>IFERROR('SwapDesk — Operations · Merchan'!W39/'SwapDesk — Operations · Merchan'!W15,"")</f>
        <v>129</v>
      </c>
      <c r="W6" s="9">
        <f>IFERROR('SwapDesk — Operations · Merchan'!X39/'SwapDesk — Operations · Merchan'!X15,"")</f>
        <v>129</v>
      </c>
      <c r="X6" s="9">
        <f>IFERROR('SwapDesk — Operations · Merchan'!Y39/'SwapDesk — Operations · Merchan'!Y15,"")</f>
        <v>129.00000000000003</v>
      </c>
      <c r="Y6" s="9">
        <f>IFERROR('SwapDesk — Operations · Merchan'!Z39/'SwapDesk — Operations · Merchan'!Z15,"")</f>
        <v>129</v>
      </c>
    </row>
    <row r="7" outlineLevel="1">
      <c r="A7" t="inlineStr" s="16">
        <is>
          <t xml:space="preserve">Small shop</t>
        </is>
      </c>
      <c r="B7" s="9">
        <f>IFERROR('SwapDesk — Operations · Merchan'!C40/'SwapDesk — Operations · Merchan'!C16,"")</f>
        <v>49</v>
      </c>
      <c r="C7" s="9">
        <f>IFERROR('SwapDesk — Operations · Merchan'!D40/'SwapDesk — Operations · Merchan'!D16,"")</f>
        <v>49</v>
      </c>
      <c r="D7" s="9">
        <f>IFERROR('SwapDesk — Operations · Merchan'!E40/'SwapDesk — Operations · Merchan'!E16,"")</f>
        <v>49</v>
      </c>
      <c r="E7" s="9">
        <f>IFERROR('SwapDesk — Operations · Merchan'!F40/'SwapDesk — Operations · Merchan'!F16,"")</f>
        <v>49</v>
      </c>
      <c r="F7" s="9">
        <f>IFERROR('SwapDesk — Operations · Merchan'!G40/'SwapDesk — Operations · Merchan'!G16,"")</f>
        <v>49</v>
      </c>
      <c r="G7" s="9">
        <f>IFERROR('SwapDesk — Operations · Merchan'!H40/'SwapDesk — Operations · Merchan'!H16,"")</f>
        <v>49</v>
      </c>
      <c r="H7" s="9">
        <f>IFERROR('SwapDesk — Operations · Merchan'!I40/'SwapDesk — Operations · Merchan'!I16,"")</f>
        <v>49</v>
      </c>
      <c r="I7" s="9">
        <f>IFERROR('SwapDesk — Operations · Merchan'!J40/'SwapDesk — Operations · Merchan'!J16,"")</f>
        <v>48.99999999999999</v>
      </c>
      <c r="J7" s="9">
        <f>IFERROR('SwapDesk — Operations · Merchan'!K40/'SwapDesk — Operations · Merchan'!K16,"")</f>
        <v>49</v>
      </c>
      <c r="K7" s="9">
        <f>IFERROR('SwapDesk — Operations · Merchan'!L40/'SwapDesk — Operations · Merchan'!L16,"")</f>
        <v>49.00000000000001</v>
      </c>
      <c r="L7" s="9">
        <f>IFERROR('SwapDesk — Operations · Merchan'!M40/'SwapDesk — Operations · Merchan'!M16,"")</f>
        <v>49</v>
      </c>
      <c r="M7" s="9">
        <f>IFERROR('SwapDesk — Operations · Merchan'!N40/'SwapDesk — Operations · Merchan'!N16,"")</f>
        <v>49</v>
      </c>
      <c r="N7" s="9">
        <f>IFERROR('SwapDesk — Operations · Merchan'!O40/'SwapDesk — Operations · Merchan'!O16,"")</f>
        <v>49</v>
      </c>
      <c r="O7" s="9">
        <f>IFERROR('SwapDesk — Operations · Merchan'!P40/'SwapDesk — Operations · Merchan'!P16,"")</f>
        <v>49</v>
      </c>
      <c r="P7" s="9">
        <f>IFERROR('SwapDesk — Operations · Merchan'!Q40/'SwapDesk — Operations · Merchan'!Q16,"")</f>
        <v>49</v>
      </c>
      <c r="Q7" s="9">
        <f>IFERROR('SwapDesk — Operations · Merchan'!R40/'SwapDesk — Operations · Merchan'!R16,"")</f>
        <v>48.99999999999999</v>
      </c>
      <c r="R7" s="9">
        <f>IFERROR('SwapDesk — Operations · Merchan'!S40/'SwapDesk — Operations · Merchan'!S16,"")</f>
        <v>49</v>
      </c>
      <c r="S7" s="9">
        <f>IFERROR('SwapDesk — Operations · Merchan'!T40/'SwapDesk — Operations · Merchan'!T16,"")</f>
        <v>49</v>
      </c>
      <c r="T7" s="9">
        <f>IFERROR('SwapDesk — Operations · Merchan'!U40/'SwapDesk — Operations · Merchan'!U16,"")</f>
        <v>49</v>
      </c>
      <c r="U7" s="9">
        <f>IFERROR('SwapDesk — Operations · Merchan'!V40/'SwapDesk — Operations · Merchan'!V16,"")</f>
        <v>49</v>
      </c>
      <c r="V7" s="9">
        <f>IFERROR('SwapDesk — Operations · Merchan'!W40/'SwapDesk — Operations · Merchan'!W16,"")</f>
        <v>49</v>
      </c>
      <c r="W7" s="9">
        <f>IFERROR('SwapDesk — Operations · Merchan'!X40/'SwapDesk — Operations · Merchan'!X16,"")</f>
        <v>49</v>
      </c>
      <c r="X7" s="9">
        <f>IFERROR('SwapDesk — Operations · Merchan'!Y40/'SwapDesk — Operations · Merchan'!Y16,"")</f>
        <v>49</v>
      </c>
      <c r="Y7" s="9">
        <f>IFERROR('SwapDesk — Operations · Merchan'!Z40/'SwapDesk — Operations · Merchan'!Z16,"")</f>
        <v>49</v>
      </c>
    </row>
    <row r="8">
      <c r="A8" t="inlineStr" s="5">
        <is>
          <t xml:space="preserve">Recurring contribution per store</t>
        </is>
      </c>
      <c r="B8" s="6">
        <f>IFERROR(('SwapDesk — Operations · Merchan'!C38-'SwapDesk — Operations · Merchan'!C41-'SwapDesk — Operations · Merchan'!C44-'SwapDesk — Operations · Merchan'!C47)/'SwapDesk — Operations · Merchan'!C14,"")</f>
        <v>56.582490974729254</v>
      </c>
      <c r="C8" s="6">
        <f>IFERROR(('SwapDesk — Operations · Merchan'!D38-'SwapDesk — Operations · Merchan'!D41-'SwapDesk — Operations · Merchan'!D44-'SwapDesk — Operations · Merchan'!D47)/'SwapDesk — Operations · Merchan'!D14,"")</f>
        <v>57.07242391996077</v>
      </c>
      <c r="D8" s="6">
        <f>IFERROR(('SwapDesk — Operations · Merchan'!E38-'SwapDesk — Operations · Merchan'!E41-'SwapDesk — Operations · Merchan'!E44-'SwapDesk — Operations · Merchan'!E47)/'SwapDesk — Operations · Merchan'!E14,"")</f>
        <v>57.45576570339163</v>
      </c>
      <c r="E8" s="6">
        <f>IFERROR(('SwapDesk — Operations · Merchan'!F38-'SwapDesk — Operations · Merchan'!F41-'SwapDesk — Operations · Merchan'!F44-'SwapDesk — Operations · Merchan'!F47)/'SwapDesk — Operations · Merchan'!F14,"")</f>
        <v>57.76814615248236</v>
      </c>
      <c r="F8" s="6">
        <f>IFERROR(('SwapDesk — Operations · Merchan'!G38-'SwapDesk — Operations · Merchan'!G41-'SwapDesk — Operations · Merchan'!G44-'SwapDesk — Operations · Merchan'!G47)/'SwapDesk — Operations · Merchan'!G14,"")</f>
        <v>58.030842288883534</v>
      </c>
      <c r="G8" s="6">
        <f>IFERROR(('SwapDesk — Operations · Merchan'!H38-'SwapDesk — Operations · Merchan'!H41-'SwapDesk — Operations · Merchan'!H44-'SwapDesk — Operations · Merchan'!H47)/'SwapDesk — Operations · Merchan'!H14,"")</f>
        <v>58.25734395744996</v>
      </c>
      <c r="H8" s="6">
        <f>IFERROR(('SwapDesk — Operations · Merchan'!I38-'SwapDesk — Operations · Merchan'!I41-'SwapDesk — Operations · Merchan'!I44-'SwapDesk — Operations · Merchan'!I47)/'SwapDesk — Operations · Merchan'!I14,"")</f>
        <v>58.45661747918164</v>
      </c>
      <c r="I8" s="6">
        <f>IFERROR(('SwapDesk — Operations · Merchan'!J38-'SwapDesk — Operations · Merchan'!J41-'SwapDesk — Operations · Merchan'!J44-'SwapDesk — Operations · Merchan'!J47)/'SwapDesk — Operations · Merchan'!J14,"")</f>
        <v>58.63485489045125</v>
      </c>
      <c r="J8" s="6">
        <f>IFERROR(('SwapDesk — Operations · Merchan'!K38-'SwapDesk — Operations · Merchan'!K41-'SwapDesk — Operations · Merchan'!K44-'SwapDesk — Operations · Merchan'!K47)/'SwapDesk — Operations · Merchan'!K14,"")</f>
        <v>58.79646976051212</v>
      </c>
      <c r="K8" s="6">
        <f>IFERROR(('SwapDesk — Operations · Merchan'!L38-'SwapDesk — Operations · Merchan'!L41-'SwapDesk — Operations · Merchan'!L44-'SwapDesk — Operations · Merchan'!L47)/'SwapDesk — Operations · Merchan'!L14,"")</f>
        <v>58.94469282392145</v>
      </c>
      <c r="L8" s="6">
        <f>IFERROR(('SwapDesk — Operations · Merchan'!M38-'SwapDesk — Operations · Merchan'!M41-'SwapDesk — Operations · Merchan'!M44-'SwapDesk — Operations · Merchan'!M47)/'SwapDesk — Operations · Merchan'!M14,"")</f>
        <v>59.081943274149815</v>
      </c>
      <c r="M8" s="6">
        <f>IFERROR(('SwapDesk — Operations · Merchan'!N38-'SwapDesk — Operations · Merchan'!N41-'SwapDesk — Operations · Merchan'!N44-'SwapDesk — Operations · Merchan'!N47)/'SwapDesk — Operations · Merchan'!N14,"")</f>
        <v>59.210068473099334</v>
      </c>
      <c r="N8" s="6">
        <f>IFERROR(('SwapDesk — Operations · Merchan'!O38-'SwapDesk — Operations · Merchan'!O41-'SwapDesk — Operations · Merchan'!O44-'SwapDesk — Operations · Merchan'!O47)/'SwapDesk — Operations · Merchan'!O14,"")</f>
        <v>59.33050344683036</v>
      </c>
      <c r="O8" s="6">
        <f>IFERROR(('SwapDesk — Operations · Merchan'!P38-'SwapDesk — Operations · Merchan'!P41-'SwapDesk — Operations · Merchan'!P44-'SwapDesk — Operations · Merchan'!P47)/'SwapDesk — Operations · Merchan'!P14,"")</f>
        <v>59.44437982863204</v>
      </c>
      <c r="P8" s="6">
        <f>IFERROR(('SwapDesk — Operations · Merchan'!Q38-'SwapDesk — Operations · Merchan'!Q41-'SwapDesk — Operations · Merchan'!Q44-'SwapDesk — Operations · Merchan'!Q47)/'SwapDesk — Operations · Merchan'!Q14,"")</f>
        <v>59.55260200466428</v>
      </c>
      <c r="Q8" s="6">
        <f>IFERROR(('SwapDesk — Operations · Merchan'!R38-'SwapDesk — Operations · Merchan'!R41-'SwapDesk — Operations · Merchan'!R44-'SwapDesk — Operations · Merchan'!R47)/'SwapDesk — Operations · Merchan'!R14,"")</f>
        <v>59.65590143099957</v>
      </c>
      <c r="R8" s="6">
        <f>IFERROR(('SwapDesk — Operations · Merchan'!S38-'SwapDesk — Operations · Merchan'!S41-'SwapDesk — Operations · Merchan'!S44-'SwapDesk — Operations · Merchan'!S47)/'SwapDesk — Operations · Merchan'!S14,"")</f>
        <v>59.75487608956363</v>
      </c>
      <c r="S8" s="6">
        <f>IFERROR(('SwapDesk — Operations · Merchan'!T38-'SwapDesk — Operations · Merchan'!T41-'SwapDesk — Operations · Merchan'!T44-'SwapDesk — Operations · Merchan'!T47)/'SwapDesk — Operations · Merchan'!T14,"")</f>
        <v>59.85001961963652</v>
      </c>
      <c r="T8" s="6">
        <f>IFERROR(('SwapDesk — Operations · Merchan'!U38-'SwapDesk — Operations · Merchan'!U41-'SwapDesk — Operations · Merchan'!U44-'SwapDesk — Operations · Merchan'!U47)/'SwapDesk — Operations · Merchan'!U14,"")</f>
        <v>59.94174314495589</v>
      </c>
      <c r="U8" s="6">
        <f>IFERROR(('SwapDesk — Operations · Merchan'!V38-'SwapDesk — Operations · Merchan'!V41-'SwapDesk — Operations · Merchan'!V44-'SwapDesk — Operations · Merchan'!V47)/'SwapDesk — Operations · Merchan'!V14,"")</f>
        <v>60.030391847351176</v>
      </c>
      <c r="V8" s="6">
        <f>IFERROR(('SwapDesk — Operations · Merchan'!W38-'SwapDesk — Operations · Merchan'!W41-'SwapDesk — Operations · Merchan'!W44-'SwapDesk — Operations · Merchan'!W47)/'SwapDesk — Operations · Merchan'!W14,"")</f>
        <v>60.116257705089204</v>
      </c>
      <c r="W8" s="6">
        <f>IFERROR(('SwapDesk — Operations · Merchan'!X38-'SwapDesk — Operations · Merchan'!X41-'SwapDesk — Operations · Merchan'!X44-'SwapDesk — Operations · Merchan'!X47)/'SwapDesk — Operations · Merchan'!X14,"")</f>
        <v>60.19958939282351</v>
      </c>
      <c r="X8" s="6">
        <f>IFERROR(('SwapDesk — Operations · Merchan'!Y38-'SwapDesk — Operations · Merchan'!Y41-'SwapDesk — Operations · Merchan'!Y44-'SwapDesk — Operations · Merchan'!Y47)/'SwapDesk — Operations · Merchan'!Y14,"")</f>
        <v>60.280600054503566</v>
      </c>
      <c r="Y8" s="6">
        <f>IFERROR(('SwapDesk — Operations · Merchan'!Z38-'SwapDesk — Operations · Merchan'!Z41-'SwapDesk — Operations · Merchan'!Z44-'SwapDesk — Operations · Merchan'!Z47)/'SwapDesk — Operations · Merchan'!Z14,"")</f>
        <v>60.359473463892975</v>
      </c>
    </row>
    <row r="9" outlineLevel="1">
      <c r="A9" t="inlineStr" s="16">
        <is>
          <t xml:space="preserve">Growing shop</t>
        </is>
      </c>
      <c r="B9" s="9">
        <f>IFERROR(('SwapDesk — Operations · Merchan'!C39-'SwapDesk — Operations · Merchan'!C42-'SwapDesk — Operations · Merchan'!C45-'SwapDesk — Operations · Merchan'!C48)/'SwapDesk — Operations · Merchan'!C15,"")</f>
        <v>101.70000000000003</v>
      </c>
      <c r="C9" s="9">
        <f>IFERROR(('SwapDesk — Operations · Merchan'!D39-'SwapDesk — Operations · Merchan'!D42-'SwapDesk — Operations · Merchan'!D45-'SwapDesk — Operations · Merchan'!D48)/'SwapDesk — Operations · Merchan'!D15,"")</f>
        <v>101.7</v>
      </c>
      <c r="D9" s="9">
        <f>IFERROR(('SwapDesk — Operations · Merchan'!E39-'SwapDesk — Operations · Merchan'!E42-'SwapDesk — Operations · Merchan'!E45-'SwapDesk — Operations · Merchan'!E48)/'SwapDesk — Operations · Merchan'!E15,"")</f>
        <v>101.69999999999999</v>
      </c>
      <c r="E9" s="9">
        <f>IFERROR(('SwapDesk — Operations · Merchan'!F39-'SwapDesk — Operations · Merchan'!F42-'SwapDesk — Operations · Merchan'!F45-'SwapDesk — Operations · Merchan'!F48)/'SwapDesk — Operations · Merchan'!F15,"")</f>
        <v>101.69999999999999</v>
      </c>
      <c r="F9" s="9">
        <f>IFERROR(('SwapDesk — Operations · Merchan'!G39-'SwapDesk — Operations · Merchan'!G42-'SwapDesk — Operations · Merchan'!G45-'SwapDesk — Operations · Merchan'!G48)/'SwapDesk — Operations · Merchan'!G15,"")</f>
        <v>101.7</v>
      </c>
      <c r="G9" s="9">
        <f>IFERROR(('SwapDesk — Operations · Merchan'!H39-'SwapDesk — Operations · Merchan'!H42-'SwapDesk — Operations · Merchan'!H45-'SwapDesk — Operations · Merchan'!H48)/'SwapDesk — Operations · Merchan'!H15,"")</f>
        <v>101.69999999999999</v>
      </c>
      <c r="H9" s="9">
        <f>IFERROR(('SwapDesk — Operations · Merchan'!I39-'SwapDesk — Operations · Merchan'!I42-'SwapDesk — Operations · Merchan'!I45-'SwapDesk — Operations · Merchan'!I48)/'SwapDesk — Operations · Merchan'!I15,"")</f>
        <v>101.7</v>
      </c>
      <c r="I9" s="9">
        <f>IFERROR(('SwapDesk — Operations · Merchan'!J39-'SwapDesk — Operations · Merchan'!J42-'SwapDesk — Operations · Merchan'!J45-'SwapDesk — Operations · Merchan'!J48)/'SwapDesk — Operations · Merchan'!J15,"")</f>
        <v>101.7</v>
      </c>
      <c r="J9" s="9">
        <f>IFERROR(('SwapDesk — Operations · Merchan'!K39-'SwapDesk — Operations · Merchan'!K42-'SwapDesk — Operations · Merchan'!K45-'SwapDesk — Operations · Merchan'!K48)/'SwapDesk — Operations · Merchan'!K15,"")</f>
        <v>101.70000000000002</v>
      </c>
      <c r="K9" s="9">
        <f>IFERROR(('SwapDesk — Operations · Merchan'!L39-'SwapDesk — Operations · Merchan'!L42-'SwapDesk — Operations · Merchan'!L45-'SwapDesk — Operations · Merchan'!L48)/'SwapDesk — Operations · Merchan'!L15,"")</f>
        <v>101.69999999999999</v>
      </c>
      <c r="L9" s="9">
        <f>IFERROR(('SwapDesk — Operations · Merchan'!M39-'SwapDesk — Operations · Merchan'!M42-'SwapDesk — Operations · Merchan'!M45-'SwapDesk — Operations · Merchan'!M48)/'SwapDesk — Operations · Merchan'!M15,"")</f>
        <v>101.7</v>
      </c>
      <c r="M9" s="9">
        <f>IFERROR(('SwapDesk — Operations · Merchan'!N39-'SwapDesk — Operations · Merchan'!N42-'SwapDesk — Operations · Merchan'!N45-'SwapDesk — Operations · Merchan'!N48)/'SwapDesk — Operations · Merchan'!N15,"")</f>
        <v>101.7</v>
      </c>
      <c r="N9" s="9">
        <f>IFERROR(('SwapDesk — Operations · Merchan'!O39-'SwapDesk — Operations · Merchan'!O42-'SwapDesk — Operations · Merchan'!O45-'SwapDesk — Operations · Merchan'!O48)/'SwapDesk — Operations · Merchan'!O15,"")</f>
        <v>101.7</v>
      </c>
      <c r="O9" s="9">
        <f>IFERROR(('SwapDesk — Operations · Merchan'!P39-'SwapDesk — Operations · Merchan'!P42-'SwapDesk — Operations · Merchan'!P45-'SwapDesk — Operations · Merchan'!P48)/'SwapDesk — Operations · Merchan'!P15,"")</f>
        <v>101.70000000000002</v>
      </c>
      <c r="P9" s="9">
        <f>IFERROR(('SwapDesk — Operations · Merchan'!Q39-'SwapDesk — Operations · Merchan'!Q42-'SwapDesk — Operations · Merchan'!Q45-'SwapDesk — Operations · Merchan'!Q48)/'SwapDesk — Operations · Merchan'!Q15,"")</f>
        <v>101.7</v>
      </c>
      <c r="Q9" s="9">
        <f>IFERROR(('SwapDesk — Operations · Merchan'!R39-'SwapDesk — Operations · Merchan'!R42-'SwapDesk — Operations · Merchan'!R45-'SwapDesk — Operations · Merchan'!R48)/'SwapDesk — Operations · Merchan'!R15,"")</f>
        <v>101.69999999999999</v>
      </c>
      <c r="R9" s="9">
        <f>IFERROR(('SwapDesk — Operations · Merchan'!S39-'SwapDesk — Operations · Merchan'!S42-'SwapDesk — Operations · Merchan'!S45-'SwapDesk — Operations · Merchan'!S48)/'SwapDesk — Operations · Merchan'!S15,"")</f>
        <v>101.69999999999999</v>
      </c>
      <c r="S9" s="9">
        <f>IFERROR(('SwapDesk — Operations · Merchan'!T39-'SwapDesk — Operations · Merchan'!T42-'SwapDesk — Operations · Merchan'!T45-'SwapDesk — Operations · Merchan'!T48)/'SwapDesk — Operations · Merchan'!T15,"")</f>
        <v>101.69999999999999</v>
      </c>
      <c r="T9" s="9">
        <f>IFERROR(('SwapDesk — Operations · Merchan'!U39-'SwapDesk — Operations · Merchan'!U42-'SwapDesk — Operations · Merchan'!U45-'SwapDesk — Operations · Merchan'!U48)/'SwapDesk — Operations · Merchan'!U15,"")</f>
        <v>101.7</v>
      </c>
      <c r="U9" s="9">
        <f>IFERROR(('SwapDesk — Operations · Merchan'!V39-'SwapDesk — Operations · Merchan'!V42-'SwapDesk — Operations · Merchan'!V45-'SwapDesk — Operations · Merchan'!V48)/'SwapDesk — Operations · Merchan'!V15,"")</f>
        <v>101.69999999999999</v>
      </c>
      <c r="V9" s="9">
        <f>IFERROR(('SwapDesk — Operations · Merchan'!W39-'SwapDesk — Operations · Merchan'!W42-'SwapDesk — Operations · Merchan'!W45-'SwapDesk — Operations · Merchan'!W48)/'SwapDesk — Operations · Merchan'!W15,"")</f>
        <v>101.70000000000002</v>
      </c>
      <c r="W9" s="9">
        <f>IFERROR(('SwapDesk — Operations · Merchan'!X39-'SwapDesk — Operations · Merchan'!X42-'SwapDesk — Operations · Merchan'!X45-'SwapDesk — Operations · Merchan'!X48)/'SwapDesk — Operations · Merchan'!X15,"")</f>
        <v>101.70000000000003</v>
      </c>
      <c r="X9" s="9">
        <f>IFERROR(('SwapDesk — Operations · Merchan'!Y39-'SwapDesk — Operations · Merchan'!Y42-'SwapDesk — Operations · Merchan'!Y45-'SwapDesk — Operations · Merchan'!Y48)/'SwapDesk — Operations · Merchan'!Y15,"")</f>
        <v>101.70000000000003</v>
      </c>
      <c r="Y9" s="9">
        <f>IFERROR(('SwapDesk — Operations · Merchan'!Z39-'SwapDesk — Operations · Merchan'!Z42-'SwapDesk — Operations · Merchan'!Z45-'SwapDesk — Operations · Merchan'!Z48)/'SwapDesk — Operations · Merchan'!Z15,"")</f>
        <v>101.7</v>
      </c>
    </row>
    <row r="10" outlineLevel="1">
      <c r="A10" t="inlineStr" s="16">
        <is>
          <t xml:space="preserve">Small shop</t>
        </is>
      </c>
      <c r="B10" s="9">
        <f>IFERROR(('SwapDesk — Operations · Merchan'!C40-'SwapDesk — Operations · Merchan'!C43-'SwapDesk — Operations · Merchan'!C46-'SwapDesk — Operations · Merchan'!C49)/'SwapDesk — Operations · Merchan'!C16,"")</f>
        <v>37.60999999999999</v>
      </c>
      <c r="C10" s="9">
        <f>IFERROR(('SwapDesk — Operations · Merchan'!D40-'SwapDesk — Operations · Merchan'!D43-'SwapDesk — Operations · Merchan'!D46-'SwapDesk — Operations · Merchan'!D49)/'SwapDesk — Operations · Merchan'!D16,"")</f>
        <v>37.61</v>
      </c>
      <c r="D10" s="9">
        <f>IFERROR(('SwapDesk — Operations · Merchan'!E40-'SwapDesk — Operations · Merchan'!E43-'SwapDesk — Operations · Merchan'!E46-'SwapDesk — Operations · Merchan'!E49)/'SwapDesk — Operations · Merchan'!E16,"")</f>
        <v>37.61</v>
      </c>
      <c r="E10" s="9">
        <f>IFERROR(('SwapDesk — Operations · Merchan'!F40-'SwapDesk — Operations · Merchan'!F43-'SwapDesk — Operations · Merchan'!F46-'SwapDesk — Operations · Merchan'!F49)/'SwapDesk — Operations · Merchan'!F16,"")</f>
        <v>37.61</v>
      </c>
      <c r="F10" s="9">
        <f>IFERROR(('SwapDesk — Operations · Merchan'!G40-'SwapDesk — Operations · Merchan'!G43-'SwapDesk — Operations · Merchan'!G46-'SwapDesk — Operations · Merchan'!G49)/'SwapDesk — Operations · Merchan'!G16,"")</f>
        <v>37.61000000000001</v>
      </c>
      <c r="G10" s="9">
        <f>IFERROR(('SwapDesk — Operations · Merchan'!H40-'SwapDesk — Operations · Merchan'!H43-'SwapDesk — Operations · Merchan'!H46-'SwapDesk — Operations · Merchan'!H49)/'SwapDesk — Operations · Merchan'!H16,"")</f>
        <v>37.61</v>
      </c>
      <c r="H10" s="9">
        <f>IFERROR(('SwapDesk — Operations · Merchan'!I40-'SwapDesk — Operations · Merchan'!I43-'SwapDesk — Operations · Merchan'!I46-'SwapDesk — Operations · Merchan'!I49)/'SwapDesk — Operations · Merchan'!I16,"")</f>
        <v>37.60999999999999</v>
      </c>
      <c r="I10" s="9">
        <f>IFERROR(('SwapDesk — Operations · Merchan'!J40-'SwapDesk — Operations · Merchan'!J43-'SwapDesk — Operations · Merchan'!J46-'SwapDesk — Operations · Merchan'!J49)/'SwapDesk — Operations · Merchan'!J16,"")</f>
        <v>37.61</v>
      </c>
      <c r="J10" s="9">
        <f>IFERROR(('SwapDesk — Operations · Merchan'!K40-'SwapDesk — Operations · Merchan'!K43-'SwapDesk — Operations · Merchan'!K46-'SwapDesk — Operations · Merchan'!K49)/'SwapDesk — Operations · Merchan'!K16,"")</f>
        <v>37.60999999999999</v>
      </c>
      <c r="K10" s="9">
        <f>IFERROR(('SwapDesk — Operations · Merchan'!L40-'SwapDesk — Operations · Merchan'!L43-'SwapDesk — Operations · Merchan'!L46-'SwapDesk — Operations · Merchan'!L49)/'SwapDesk — Operations · Merchan'!L16,"")</f>
        <v>37.61000000000001</v>
      </c>
      <c r="L10" s="9">
        <f>IFERROR(('SwapDesk — Operations · Merchan'!M40-'SwapDesk — Operations · Merchan'!M43-'SwapDesk — Operations · Merchan'!M46-'SwapDesk — Operations · Merchan'!M49)/'SwapDesk — Operations · Merchan'!M16,"")</f>
        <v>37.61</v>
      </c>
      <c r="M10" s="9">
        <f>IFERROR(('SwapDesk — Operations · Merchan'!N40-'SwapDesk — Operations · Merchan'!N43-'SwapDesk — Operations · Merchan'!N46-'SwapDesk — Operations · Merchan'!N49)/'SwapDesk — Operations · Merchan'!N16,"")</f>
        <v>37.61000000000001</v>
      </c>
      <c r="N10" s="9">
        <f>IFERROR(('SwapDesk — Operations · Merchan'!O40-'SwapDesk — Operations · Merchan'!O43-'SwapDesk — Operations · Merchan'!O46-'SwapDesk — Operations · Merchan'!O49)/'SwapDesk — Operations · Merchan'!O16,"")</f>
        <v>37.61</v>
      </c>
      <c r="O10" s="9">
        <f>IFERROR(('SwapDesk — Operations · Merchan'!P40-'SwapDesk — Operations · Merchan'!P43-'SwapDesk — Operations · Merchan'!P46-'SwapDesk — Operations · Merchan'!P49)/'SwapDesk — Operations · Merchan'!P16,"")</f>
        <v>37.61000000000001</v>
      </c>
      <c r="P10" s="9">
        <f>IFERROR(('SwapDesk — Operations · Merchan'!Q40-'SwapDesk — Operations · Merchan'!Q43-'SwapDesk — Operations · Merchan'!Q46-'SwapDesk — Operations · Merchan'!Q49)/'SwapDesk — Operations · Merchan'!Q16,"")</f>
        <v>37.61</v>
      </c>
      <c r="Q10" s="9">
        <f>IFERROR(('SwapDesk — Operations · Merchan'!R40-'SwapDesk — Operations · Merchan'!R43-'SwapDesk — Operations · Merchan'!R46-'SwapDesk — Operations · Merchan'!R49)/'SwapDesk — Operations · Merchan'!R16,"")</f>
        <v>37.61</v>
      </c>
      <c r="R10" s="9">
        <f>IFERROR(('SwapDesk — Operations · Merchan'!S40-'SwapDesk — Operations · Merchan'!S43-'SwapDesk — Operations · Merchan'!S46-'SwapDesk — Operations · Merchan'!S49)/'SwapDesk — Operations · Merchan'!S16,"")</f>
        <v>37.61</v>
      </c>
      <c r="S10" s="9">
        <f>IFERROR(('SwapDesk — Operations · Merchan'!T40-'SwapDesk — Operations · Merchan'!T43-'SwapDesk — Operations · Merchan'!T46-'SwapDesk — Operations · Merchan'!T49)/'SwapDesk — Operations · Merchan'!T16,"")</f>
        <v>37.61</v>
      </c>
      <c r="T10" s="9">
        <f>IFERROR(('SwapDesk — Operations · Merchan'!U40-'SwapDesk — Operations · Merchan'!U43-'SwapDesk — Operations · Merchan'!U46-'SwapDesk — Operations · Merchan'!U49)/'SwapDesk — Operations · Merchan'!U16,"")</f>
        <v>37.61000000000001</v>
      </c>
      <c r="U10" s="9">
        <f>IFERROR(('SwapDesk — Operations · Merchan'!V40-'SwapDesk — Operations · Merchan'!V43-'SwapDesk — Operations · Merchan'!V46-'SwapDesk — Operations · Merchan'!V49)/'SwapDesk — Operations · Merchan'!V16,"")</f>
        <v>37.61</v>
      </c>
      <c r="V10" s="9">
        <f>IFERROR(('SwapDesk — Operations · Merchan'!W40-'SwapDesk — Operations · Merchan'!W43-'SwapDesk — Operations · Merchan'!W46-'SwapDesk — Operations · Merchan'!W49)/'SwapDesk — Operations · Merchan'!W16,"")</f>
        <v>37.61</v>
      </c>
      <c r="W10" s="9">
        <f>IFERROR(('SwapDesk — Operations · Merchan'!X40-'SwapDesk — Operations · Merchan'!X43-'SwapDesk — Operations · Merchan'!X46-'SwapDesk — Operations · Merchan'!X49)/'SwapDesk — Operations · Merchan'!X16,"")</f>
        <v>37.61</v>
      </c>
      <c r="X10" s="9">
        <f>IFERROR(('SwapDesk — Operations · Merchan'!Y40-'SwapDesk — Operations · Merchan'!Y43-'SwapDesk — Operations · Merchan'!Y46-'SwapDesk — Operations · Merchan'!Y49)/'SwapDesk — Operations · Merchan'!Y16,"")</f>
        <v>37.61</v>
      </c>
      <c r="Y10" s="9">
        <f>IFERROR(('SwapDesk — Operations · Merchan'!Z40-'SwapDesk — Operations · Merchan'!Z43-'SwapDesk — Operations · Merchan'!Z46-'SwapDesk — Operations · Merchan'!Z49)/'SwapDesk — Operations · Merchan'!Z16,"")</f>
        <v>37.61000000000001</v>
      </c>
    </row>
    <row r="11">
      <c r="A11" t="inlineStr" s="5">
        <is>
          <t xml:space="preserve">Inference spend per arrangement</t>
        </is>
      </c>
      <c r="B11" s="6">
        <f>IFERROR('SwapDesk — Operations · Merchan'!C41/'SwapDesk — Operations · Merchan'!C20,"")</f>
        <v>0.05307692307692306</v>
      </c>
      <c r="C11" s="6">
        <f>IFERROR('SwapDesk — Operations · Merchan'!D41/'SwapDesk — Operations · Merchan'!D20,"")</f>
        <v>0.05307692307692307</v>
      </c>
      <c r="D11" s="6">
        <f>IFERROR('SwapDesk — Operations · Merchan'!E41/'SwapDesk — Operations · Merchan'!E20,"")</f>
        <v>0.05307692307692308</v>
      </c>
      <c r="E11" s="6">
        <f>IFERROR('SwapDesk — Operations · Merchan'!F41/'SwapDesk — Operations · Merchan'!F20,"")</f>
        <v>0.05307692307692308</v>
      </c>
      <c r="F11" s="6">
        <f>IFERROR('SwapDesk — Operations · Merchan'!G41/'SwapDesk — Operations · Merchan'!G20,"")</f>
        <v>0.05307692307692308</v>
      </c>
      <c r="G11" s="6">
        <f>IFERROR('SwapDesk — Operations · Merchan'!H41/'SwapDesk — Operations · Merchan'!H20,"")</f>
        <v>0.05307692307692308</v>
      </c>
      <c r="H11" s="6">
        <f>IFERROR('SwapDesk — Operations · Merchan'!I41/'SwapDesk — Operations · Merchan'!I20,"")</f>
        <v>0.05307692307692308</v>
      </c>
      <c r="I11" s="6">
        <f>IFERROR('SwapDesk — Operations · Merchan'!J41/'SwapDesk — Operations · Merchan'!J20,"")</f>
        <v>0.05307692307692308</v>
      </c>
      <c r="J11" s="6">
        <f>IFERROR('SwapDesk — Operations · Merchan'!K41/'SwapDesk — Operations · Merchan'!K20,"")</f>
        <v>0.05307692307692306</v>
      </c>
      <c r="K11" s="6">
        <f>IFERROR('SwapDesk — Operations · Merchan'!L41/'SwapDesk — Operations · Merchan'!L20,"")</f>
        <v>0.05307692307692306</v>
      </c>
      <c r="L11" s="6">
        <f>IFERROR('SwapDesk — Operations · Merchan'!M41/'SwapDesk — Operations · Merchan'!M20,"")</f>
        <v>0.053076923076923084</v>
      </c>
      <c r="M11" s="6">
        <f>IFERROR('SwapDesk — Operations · Merchan'!N41/'SwapDesk — Operations · Merchan'!N20,"")</f>
        <v>0.05307692307692308</v>
      </c>
      <c r="N11" s="6">
        <f>IFERROR('SwapDesk — Operations · Merchan'!O41/'SwapDesk — Operations · Merchan'!O20,"")</f>
        <v>0.05307692307692307</v>
      </c>
      <c r="O11" s="6">
        <f>IFERROR('SwapDesk — Operations · Merchan'!P41/'SwapDesk — Operations · Merchan'!P20,"")</f>
        <v>0.05307692307692307</v>
      </c>
      <c r="P11" s="6">
        <f>IFERROR('SwapDesk — Operations · Merchan'!Q41/'SwapDesk — Operations · Merchan'!Q20,"")</f>
        <v>0.05307692307692307</v>
      </c>
      <c r="Q11" s="6">
        <f>IFERROR('SwapDesk — Operations · Merchan'!R41/'SwapDesk — Operations · Merchan'!R20,"")</f>
        <v>0.05307692307692307</v>
      </c>
      <c r="R11" s="6">
        <f>IFERROR('SwapDesk — Operations · Merchan'!S41/'SwapDesk — Operations · Merchan'!S20,"")</f>
        <v>0.05307692307692306</v>
      </c>
      <c r="S11" s="6">
        <f>IFERROR('SwapDesk — Operations · Merchan'!T41/'SwapDesk — Operations · Merchan'!T20,"")</f>
        <v>0.05307692307692307</v>
      </c>
      <c r="T11" s="6">
        <f>IFERROR('SwapDesk — Operations · Merchan'!U41/'SwapDesk — Operations · Merchan'!U20,"")</f>
        <v>0.05307692307692308</v>
      </c>
      <c r="U11" s="6">
        <f>IFERROR('SwapDesk — Operations · Merchan'!V41/'SwapDesk — Operations · Merchan'!V20,"")</f>
        <v>0.05307692307692308</v>
      </c>
      <c r="V11" s="6">
        <f>IFERROR('SwapDesk — Operations · Merchan'!W41/'SwapDesk — Operations · Merchan'!W20,"")</f>
        <v>0.05307692307692307</v>
      </c>
      <c r="W11" s="6">
        <f>IFERROR('SwapDesk — Operations · Merchan'!X41/'SwapDesk — Operations · Merchan'!X20,"")</f>
        <v>0.05307692307692306</v>
      </c>
      <c r="X11" s="6">
        <f>IFERROR('SwapDesk — Operations · Merchan'!Y41/'SwapDesk — Operations · Merchan'!Y20,"")</f>
        <v>0.05307692307692306</v>
      </c>
      <c r="Y11" s="6">
        <f>IFERROR('SwapDesk — Operations · Merchan'!Z41/'SwapDesk — Operations · Merchan'!Z20,"")</f>
        <v>0.05307692307692307</v>
      </c>
    </row>
    <row r="12" outlineLevel="1">
      <c r="A12" t="inlineStr" s="16">
        <is>
          <t xml:space="preserve">Growing shop</t>
        </is>
      </c>
      <c r="B12" s="9">
        <f>IFERROR('SwapDesk — Operations · Merchan'!C42/'SwapDesk — Operations · Merchan'!C21,"")</f>
        <v>0.05307692307692306</v>
      </c>
      <c r="C12" s="9">
        <f>IFERROR('SwapDesk — Operations · Merchan'!D42/'SwapDesk — Operations · Merchan'!D21,"")</f>
        <v>0.05307692307692307</v>
      </c>
      <c r="D12" s="9">
        <f>IFERROR('SwapDesk — Operations · Merchan'!E42/'SwapDesk — Operations · Merchan'!E21,"")</f>
        <v>0.05307692307692308</v>
      </c>
      <c r="E12" s="9">
        <f>IFERROR('SwapDesk — Operations · Merchan'!F42/'SwapDesk — Operations · Merchan'!F21,"")</f>
        <v>0.05307692307692308</v>
      </c>
      <c r="F12" s="9">
        <f>IFERROR('SwapDesk — Operations · Merchan'!G42/'SwapDesk — Operations · Merchan'!G21,"")</f>
        <v>0.05307692307692307</v>
      </c>
      <c r="G12" s="9">
        <f>IFERROR('SwapDesk — Operations · Merchan'!H42/'SwapDesk — Operations · Merchan'!H21,"")</f>
        <v>0.05307692307692307</v>
      </c>
      <c r="H12" s="9">
        <f>IFERROR('SwapDesk — Operations · Merchan'!I42/'SwapDesk — Operations · Merchan'!I21,"")</f>
        <v>0.05307692307692307</v>
      </c>
      <c r="I12" s="9">
        <f>IFERROR('SwapDesk — Operations · Merchan'!J42/'SwapDesk — Operations · Merchan'!J21,"")</f>
        <v>0.05307692307692308</v>
      </c>
      <c r="J12" s="9">
        <f>IFERROR('SwapDesk — Operations · Merchan'!K42/'SwapDesk — Operations · Merchan'!K21,"")</f>
        <v>0.05307692307692307</v>
      </c>
      <c r="K12" s="9">
        <f>IFERROR('SwapDesk — Operations · Merchan'!L42/'SwapDesk — Operations · Merchan'!L21,"")</f>
        <v>0.05307692307692307</v>
      </c>
      <c r="L12" s="9">
        <f>IFERROR('SwapDesk — Operations · Merchan'!M42/'SwapDesk — Operations · Merchan'!M21,"")</f>
        <v>0.05307692307692308</v>
      </c>
      <c r="M12" s="9">
        <f>IFERROR('SwapDesk — Operations · Merchan'!N42/'SwapDesk — Operations · Merchan'!N21,"")</f>
        <v>0.05307692307692307</v>
      </c>
      <c r="N12" s="9">
        <f>IFERROR('SwapDesk — Operations · Merchan'!O42/'SwapDesk — Operations · Merchan'!O21,"")</f>
        <v>0.05307692307692307</v>
      </c>
      <c r="O12" s="9">
        <f>IFERROR('SwapDesk — Operations · Merchan'!P42/'SwapDesk — Operations · Merchan'!P21,"")</f>
        <v>0.05307692307692307</v>
      </c>
      <c r="P12" s="9">
        <f>IFERROR('SwapDesk — Operations · Merchan'!Q42/'SwapDesk — Operations · Merchan'!Q21,"")</f>
        <v>0.05307692307692307</v>
      </c>
      <c r="Q12" s="9">
        <f>IFERROR('SwapDesk — Operations · Merchan'!R42/'SwapDesk — Operations · Merchan'!R21,"")</f>
        <v>0.05307692307692306</v>
      </c>
      <c r="R12" s="9">
        <f>IFERROR('SwapDesk — Operations · Merchan'!S42/'SwapDesk — Operations · Merchan'!S21,"")</f>
        <v>0.05307692307692307</v>
      </c>
      <c r="S12" s="9">
        <f>IFERROR('SwapDesk — Operations · Merchan'!T42/'SwapDesk — Operations · Merchan'!T21,"")</f>
        <v>0.05307692307692308</v>
      </c>
      <c r="T12" s="9">
        <f>IFERROR('SwapDesk — Operations · Merchan'!U42/'SwapDesk — Operations · Merchan'!U21,"")</f>
        <v>0.05307692307692308</v>
      </c>
      <c r="U12" s="9">
        <f>IFERROR('SwapDesk — Operations · Merchan'!V42/'SwapDesk — Operations · Merchan'!V21,"")</f>
        <v>0.05307692307692308</v>
      </c>
      <c r="V12" s="9">
        <f>IFERROR('SwapDesk — Operations · Merchan'!W42/'SwapDesk — Operations · Merchan'!W21,"")</f>
        <v>0.05307692307692307</v>
      </c>
      <c r="W12" s="9">
        <f>IFERROR('SwapDesk — Operations · Merchan'!X42/'SwapDesk — Operations · Merchan'!X21,"")</f>
        <v>0.05307692307692306</v>
      </c>
      <c r="X12" s="9">
        <f>IFERROR('SwapDesk — Operations · Merchan'!Y42/'SwapDesk — Operations · Merchan'!Y21,"")</f>
        <v>0.05307692307692307</v>
      </c>
      <c r="Y12" s="9">
        <f>IFERROR('SwapDesk — Operations · Merchan'!Z42/'SwapDesk — Operations · Merchan'!Z21,"")</f>
        <v>0.05307692307692307</v>
      </c>
    </row>
    <row r="13" outlineLevel="1">
      <c r="A13" t="inlineStr" s="16">
        <is>
          <t xml:space="preserve">Small shop</t>
        </is>
      </c>
      <c r="B13" s="9">
        <f>IFERROR('SwapDesk — Operations · Merchan'!C43/'SwapDesk — Operations · Merchan'!C22,"")</f>
        <v>0.05307692307692307</v>
      </c>
      <c r="C13" s="9">
        <f>IFERROR('SwapDesk — Operations · Merchan'!D43/'SwapDesk — Operations · Merchan'!D22,"")</f>
        <v>0.05307692307692306</v>
      </c>
      <c r="D13" s="9">
        <f>IFERROR('SwapDesk — Operations · Merchan'!E43/'SwapDesk — Operations · Merchan'!E22,"")</f>
        <v>0.05307692307692308</v>
      </c>
      <c r="E13" s="9">
        <f>IFERROR('SwapDesk — Operations · Merchan'!F43/'SwapDesk — Operations · Merchan'!F22,"")</f>
        <v>0.05307692307692306</v>
      </c>
      <c r="F13" s="9">
        <f>IFERROR('SwapDesk — Operations · Merchan'!G43/'SwapDesk — Operations · Merchan'!G22,"")</f>
        <v>0.05307692307692307</v>
      </c>
      <c r="G13" s="9">
        <f>IFERROR('SwapDesk — Operations · Merchan'!H43/'SwapDesk — Operations · Merchan'!H22,"")</f>
        <v>0.05307692307692308</v>
      </c>
      <c r="H13" s="9">
        <f>IFERROR('SwapDesk — Operations · Merchan'!I43/'SwapDesk — Operations · Merchan'!I22,"")</f>
        <v>0.05307692307692308</v>
      </c>
      <c r="I13" s="9">
        <f>IFERROR('SwapDesk — Operations · Merchan'!J43/'SwapDesk — Operations · Merchan'!J22,"")</f>
        <v>0.05307692307692307</v>
      </c>
      <c r="J13" s="9">
        <f>IFERROR('SwapDesk — Operations · Merchan'!K43/'SwapDesk — Operations · Merchan'!K22,"")</f>
        <v>0.05307692307692308</v>
      </c>
      <c r="K13" s="9">
        <f>IFERROR('SwapDesk — Operations · Merchan'!L43/'SwapDesk — Operations · Merchan'!L22,"")</f>
        <v>0.05307692307692307</v>
      </c>
      <c r="L13" s="9">
        <f>IFERROR('SwapDesk — Operations · Merchan'!M43/'SwapDesk — Operations · Merchan'!M22,"")</f>
        <v>0.05307692307692308</v>
      </c>
      <c r="M13" s="9">
        <f>IFERROR('SwapDesk — Operations · Merchan'!N43/'SwapDesk — Operations · Merchan'!N22,"")</f>
        <v>0.053076923076923084</v>
      </c>
      <c r="N13" s="9">
        <f>IFERROR('SwapDesk — Operations · Merchan'!O43/'SwapDesk — Operations · Merchan'!O22,"")</f>
        <v>0.05307692307692307</v>
      </c>
      <c r="O13" s="9">
        <f>IFERROR('SwapDesk — Operations · Merchan'!P43/'SwapDesk — Operations · Merchan'!P22,"")</f>
        <v>0.05307692307692308</v>
      </c>
      <c r="P13" s="9">
        <f>IFERROR('SwapDesk — Operations · Merchan'!Q43/'SwapDesk — Operations · Merchan'!Q22,"")</f>
        <v>0.05307692307692308</v>
      </c>
      <c r="Q13" s="9">
        <f>IFERROR('SwapDesk — Operations · Merchan'!R43/'SwapDesk — Operations · Merchan'!R22,"")</f>
        <v>0.05307692307692307</v>
      </c>
      <c r="R13" s="9">
        <f>IFERROR('SwapDesk — Operations · Merchan'!S43/'SwapDesk — Operations · Merchan'!S22,"")</f>
        <v>0.05307692307692307</v>
      </c>
      <c r="S13" s="9">
        <f>IFERROR('SwapDesk — Operations · Merchan'!T43/'SwapDesk — Operations · Merchan'!T22,"")</f>
        <v>0.05307692307692308</v>
      </c>
      <c r="T13" s="9">
        <f>IFERROR('SwapDesk — Operations · Merchan'!U43/'SwapDesk — Operations · Merchan'!U22,"")</f>
        <v>0.05307692307692307</v>
      </c>
      <c r="U13" s="9">
        <f>IFERROR('SwapDesk — Operations · Merchan'!V43/'SwapDesk — Operations · Merchan'!V22,"")</f>
        <v>0.053076923076923084</v>
      </c>
      <c r="V13" s="9">
        <f>IFERROR('SwapDesk — Operations · Merchan'!W43/'SwapDesk — Operations · Merchan'!W22,"")</f>
        <v>0.05307692307692308</v>
      </c>
      <c r="W13" s="9">
        <f>IFERROR('SwapDesk — Operations · Merchan'!X43/'SwapDesk — Operations · Merchan'!X22,"")</f>
        <v>0.05307692307692307</v>
      </c>
      <c r="X13" s="9">
        <f>IFERROR('SwapDesk — Operations · Merchan'!Y43/'SwapDesk — Operations · Merchan'!Y22,"")</f>
        <v>0.05307692307692308</v>
      </c>
      <c r="Y13" s="9">
        <f>IFERROR('SwapDesk — Operations · Merchan'!Z43/'SwapDesk — Operations · Merchan'!Z22,"")</f>
        <v>0.05307692307692308</v>
      </c>
    </row>
    <row r="14">
      <c r="A14" t="inlineStr" s="5">
        <is>
          <t xml:space="preserve">CAC payback months</t>
        </is>
      </c>
      <c r="B14" s="17">
        <f>IFERROR('SwapDesk — Assumptions · Commer'!B11/'SwapDesk — Operations · Unit ec'!B8,"")</f>
        <v>1.7673311704262327</v>
      </c>
      <c r="C14" s="17">
        <f>IFERROR('SwapDesk — Assumptions · Commer'!B11/'SwapDesk — Operations · Unit ec'!C8,"")</f>
        <v>1.7521596794319005</v>
      </c>
      <c r="D14" s="17">
        <f>IFERROR('SwapDesk — Assumptions · Commer'!B11/'SwapDesk — Operations · Unit ec'!D8,"")</f>
        <v>1.7404693641407163</v>
      </c>
      <c r="E14" s="17">
        <f>IFERROR('SwapDesk — Assumptions · Commer'!B11/'SwapDesk — Operations · Unit ec'!E8,"")</f>
        <v>1.7310578001939723</v>
      </c>
      <c r="F14" s="17">
        <f>IFERROR('SwapDesk — Assumptions · Commer'!B11/'SwapDesk — Operations · Unit ec'!F8,"")</f>
        <v>1.7232215845186196</v>
      </c>
      <c r="G14" s="17">
        <f>IFERROR('SwapDesk — Assumptions · Commer'!B11/'SwapDesk — Operations · Unit ec'!G8,"")</f>
        <v>1.7165217843271068</v>
      </c>
      <c r="H14" s="17">
        <f>IFERROR('SwapDesk — Assumptions · Commer'!B11/'SwapDesk — Operations · Unit ec'!H8,"")</f>
        <v>1.7106703109466324</v>
      </c>
      <c r="I14" s="17">
        <f>IFERROR('SwapDesk — Assumptions · Commer'!B11/'SwapDesk — Operations · Unit ec'!I8,"")</f>
        <v>1.7054702392771695</v>
      </c>
      <c r="J14" s="17">
        <f>IFERROR('SwapDesk — Assumptions · Commer'!B11/'SwapDesk — Operations · Unit ec'!J8,"")</f>
        <v>1.7007823838287701</v>
      </c>
      <c r="K14" s="17">
        <f>IFERROR('SwapDesk — Assumptions · Commer'!B11/'SwapDesk — Operations · Unit ec'!K8,"")</f>
        <v>1.696505575128167</v>
      </c>
      <c r="L14" s="17">
        <f>IFERROR('SwapDesk — Assumptions · Commer'!B11/'SwapDesk — Operations · Unit ec'!L8,"")</f>
        <v>1.6925645037771313</v>
      </c>
      <c r="M14" s="17">
        <f>IFERROR('SwapDesk — Assumptions · Commer'!B11/'SwapDesk — Operations · Unit ec'!M8,"")</f>
        <v>1.6889019482460585</v>
      </c>
      <c r="N14" s="17">
        <f>IFERROR('SwapDesk — Assumptions · Commer'!B11/'SwapDesk — Operations · Unit ec'!N8,"")</f>
        <v>1.6854736466144438</v>
      </c>
      <c r="O14" s="17">
        <f>IFERROR('SwapDesk — Assumptions · Commer'!B11/'SwapDesk — Operations · Unit ec'!O8,"")</f>
        <v>1.682244819245871</v>
      </c>
      <c r="P14" s="17">
        <f>IFERROR('SwapDesk — Assumptions · Commer'!B11/'SwapDesk — Operations · Unit ec'!P8,"")</f>
        <v>1.679187753914897</v>
      </c>
      <c r="Q14" s="17">
        <f>IFERROR('SwapDesk — Assumptions · Commer'!B11/'SwapDesk — Operations · Unit ec'!Q8,"")</f>
        <v>1.6762800930208732</v>
      </c>
      <c r="R14" s="17">
        <f>IFERROR('SwapDesk — Assumptions · Commer'!B11/'SwapDesk — Operations · Unit ec'!R8,"")</f>
        <v>1.673503595758695</v>
      </c>
      <c r="S14" s="17">
        <f>IFERROR('SwapDesk — Assumptions · Commer'!B11/'SwapDesk — Operations · Unit ec'!S8,"")</f>
        <v>1.670843228382008</v>
      </c>
      <c r="T14" s="17">
        <f>IFERROR('SwapDesk — Assumptions · Commer'!B11/'SwapDesk — Operations · Unit ec'!T8,"")</f>
        <v>1.668286485399199</v>
      </c>
      <c r="U14" s="17">
        <f>IFERROR('SwapDesk — Assumptions · Commer'!B11/'SwapDesk — Operations · Unit ec'!U8,"")</f>
        <v>1.665822876090596</v>
      </c>
      <c r="V14" s="17">
        <f>IFERROR('SwapDesk — Assumptions · Commer'!B11/'SwapDesk — Operations · Unit ec'!V8,"")</f>
        <v>1.6634435312086033</v>
      </c>
      <c r="W14" s="17">
        <f>IFERROR('SwapDesk — Assumptions · Commer'!B11/'SwapDesk — Operations · Unit ec'!W8,"")</f>
        <v>1.6611408982786378</v>
      </c>
      <c r="X14" s="17">
        <f>IFERROR('SwapDesk — Assumptions · Commer'!B11/'SwapDesk — Operations · Unit ec'!X8,"")</f>
        <v>1.6589085030604136</v>
      </c>
      <c r="Y14" s="17">
        <f>IFERROR('SwapDesk — Assumptions · Commer'!B11/'SwapDesk — Operations · Unit ec'!Y8,"")</f>
        <v>1.656740760997857</v>
      </c>
    </row>
    <row r="15" outlineLevel="1">
      <c r="A15" t="inlineStr" s="16">
        <is>
          <t xml:space="preserve">Growing shop</t>
        </is>
      </c>
      <c r="B15" s="18">
        <f>IFERROR('SwapDesk — Assumptions · Commer'!B11/'SwapDesk — Operations · Unit ec'!B9,"")</f>
        <v>0.9832841691248768</v>
      </c>
      <c r="C15" s="18">
        <f>IFERROR('SwapDesk — Assumptions · Commer'!B11/'SwapDesk — Operations · Unit ec'!C9,"")</f>
        <v>0.983284169124877</v>
      </c>
      <c r="D15" s="18">
        <f>IFERROR('SwapDesk — Assumptions · Commer'!B11/'SwapDesk — Operations · Unit ec'!D9,"")</f>
        <v>0.9832841691248771</v>
      </c>
      <c r="E15" s="18">
        <f>IFERROR('SwapDesk — Assumptions · Commer'!B11/'SwapDesk — Operations · Unit ec'!E9,"")</f>
        <v>0.9832841691248771</v>
      </c>
      <c r="F15" s="18">
        <f>IFERROR('SwapDesk — Assumptions · Commer'!B11/'SwapDesk — Operations · Unit ec'!F9,"")</f>
        <v>0.983284169124877</v>
      </c>
      <c r="G15" s="18">
        <f>IFERROR('SwapDesk — Assumptions · Commer'!B11/'SwapDesk — Operations · Unit ec'!G9,"")</f>
        <v>0.9832841691248771</v>
      </c>
      <c r="H15" s="18">
        <f>IFERROR('SwapDesk — Assumptions · Commer'!B11/'SwapDesk — Operations · Unit ec'!H9,"")</f>
        <v>0.983284169124877</v>
      </c>
      <c r="I15" s="18">
        <f>IFERROR('SwapDesk — Assumptions · Commer'!B11/'SwapDesk — Operations · Unit ec'!I9,"")</f>
        <v>0.983284169124877</v>
      </c>
      <c r="J15" s="18">
        <f>IFERROR('SwapDesk — Assumptions · Commer'!B11/'SwapDesk — Operations · Unit ec'!J9,"")</f>
        <v>0.9832841691248769</v>
      </c>
      <c r="K15" s="18">
        <f>IFERROR('SwapDesk — Assumptions · Commer'!B11/'SwapDesk — Operations · Unit ec'!K9,"")</f>
        <v>0.9832841691248771</v>
      </c>
      <c r="L15" s="18">
        <f>IFERROR('SwapDesk — Assumptions · Commer'!B11/'SwapDesk — Operations · Unit ec'!L9,"")</f>
        <v>0.983284169124877</v>
      </c>
      <c r="M15" s="18">
        <f>IFERROR('SwapDesk — Assumptions · Commer'!B11/'SwapDesk — Operations · Unit ec'!M9,"")</f>
        <v>0.983284169124877</v>
      </c>
      <c r="N15" s="18">
        <f>IFERROR('SwapDesk — Assumptions · Commer'!B11/'SwapDesk — Operations · Unit ec'!N9,"")</f>
        <v>0.983284169124877</v>
      </c>
      <c r="O15" s="18">
        <f>IFERROR('SwapDesk — Assumptions · Commer'!B11/'SwapDesk — Operations · Unit ec'!O9,"")</f>
        <v>0.9832841691248769</v>
      </c>
      <c r="P15" s="18">
        <f>IFERROR('SwapDesk — Assumptions · Commer'!B11/'SwapDesk — Operations · Unit ec'!P9,"")</f>
        <v>0.983284169124877</v>
      </c>
      <c r="Q15" s="18">
        <f>IFERROR('SwapDesk — Assumptions · Commer'!B11/'SwapDesk — Operations · Unit ec'!Q9,"")</f>
        <v>0.9832841691248771</v>
      </c>
      <c r="R15" s="18">
        <f>IFERROR('SwapDesk — Assumptions · Commer'!B11/'SwapDesk — Operations · Unit ec'!R9,"")</f>
        <v>0.9832841691248771</v>
      </c>
      <c r="S15" s="18">
        <f>IFERROR('SwapDesk — Assumptions · Commer'!B11/'SwapDesk — Operations · Unit ec'!S9,"")</f>
        <v>0.9832841691248771</v>
      </c>
      <c r="T15" s="18">
        <f>IFERROR('SwapDesk — Assumptions · Commer'!B11/'SwapDesk — Operations · Unit ec'!T9,"")</f>
        <v>0.983284169124877</v>
      </c>
      <c r="U15" s="18">
        <f>IFERROR('SwapDesk — Assumptions · Commer'!B11/'SwapDesk — Operations · Unit ec'!U9,"")</f>
        <v>0.9832841691248771</v>
      </c>
      <c r="V15" s="18">
        <f>IFERROR('SwapDesk — Assumptions · Commer'!B11/'SwapDesk — Operations · Unit ec'!V9,"")</f>
        <v>0.9832841691248769</v>
      </c>
      <c r="W15" s="18">
        <f>IFERROR('SwapDesk — Assumptions · Commer'!B11/'SwapDesk — Operations · Unit ec'!W9,"")</f>
        <v>0.9832841691248768</v>
      </c>
      <c r="X15" s="18">
        <f>IFERROR('SwapDesk — Assumptions · Commer'!B11/'SwapDesk — Operations · Unit ec'!X9,"")</f>
        <v>0.9832841691248768</v>
      </c>
      <c r="Y15" s="18">
        <f>IFERROR('SwapDesk — Assumptions · Commer'!B11/'SwapDesk — Operations · Unit ec'!Y9,"")</f>
        <v>0.983284169124877</v>
      </c>
    </row>
    <row r="16" outlineLevel="1">
      <c r="A16" t="inlineStr" s="16">
        <is>
          <t xml:space="preserve">Small shop</t>
        </is>
      </c>
      <c r="B16" s="18">
        <f>IFERROR('SwapDesk — Assumptions · Commer'!B11/'SwapDesk — Operations · Unit ec'!B10,"")</f>
        <v>2.658867322520607</v>
      </c>
      <c r="C16" s="18">
        <f>IFERROR('SwapDesk — Assumptions · Commer'!B11/'SwapDesk — Operations · Unit ec'!C10,"")</f>
        <v>2.658867322520606</v>
      </c>
      <c r="D16" s="18">
        <f>IFERROR('SwapDesk — Assumptions · Commer'!B11/'SwapDesk — Operations · Unit ec'!D10,"")</f>
        <v>2.658867322520606</v>
      </c>
      <c r="E16" s="18">
        <f>IFERROR('SwapDesk — Assumptions · Commer'!B11/'SwapDesk — Operations · Unit ec'!E10,"")</f>
        <v>2.658867322520606</v>
      </c>
      <c r="F16" s="18">
        <f>IFERROR('SwapDesk — Assumptions · Commer'!B11/'SwapDesk — Operations · Unit ec'!F10,"")</f>
        <v>2.6588673225206056</v>
      </c>
      <c r="G16" s="18">
        <f>IFERROR('SwapDesk — Assumptions · Commer'!B11/'SwapDesk — Operations · Unit ec'!G10,"")</f>
        <v>2.658867322520606</v>
      </c>
      <c r="H16" s="18">
        <f>IFERROR('SwapDesk — Assumptions · Commer'!B11/'SwapDesk — Operations · Unit ec'!H10,"")</f>
        <v>2.658867322520607</v>
      </c>
      <c r="I16" s="18">
        <f>IFERROR('SwapDesk — Assumptions · Commer'!B11/'SwapDesk — Operations · Unit ec'!I10,"")</f>
        <v>2.658867322520606</v>
      </c>
      <c r="J16" s="18">
        <f>IFERROR('SwapDesk — Assumptions · Commer'!B11/'SwapDesk — Operations · Unit ec'!J10,"")</f>
        <v>2.658867322520607</v>
      </c>
      <c r="K16" s="18">
        <f>IFERROR('SwapDesk — Assumptions · Commer'!B11/'SwapDesk — Operations · Unit ec'!K10,"")</f>
        <v>2.6588673225206056</v>
      </c>
      <c r="L16" s="18">
        <f>IFERROR('SwapDesk — Assumptions · Commer'!B11/'SwapDesk — Operations · Unit ec'!L10,"")</f>
        <v>2.658867322520606</v>
      </c>
      <c r="M16" s="18">
        <f>IFERROR('SwapDesk — Assumptions · Commer'!B11/'SwapDesk — Operations · Unit ec'!M10,"")</f>
        <v>2.6588673225206056</v>
      </c>
      <c r="N16" s="18">
        <f>IFERROR('SwapDesk — Assumptions · Commer'!B11/'SwapDesk — Operations · Unit ec'!N10,"")</f>
        <v>2.658867322520606</v>
      </c>
      <c r="O16" s="18">
        <f>IFERROR('SwapDesk — Assumptions · Commer'!B11/'SwapDesk — Operations · Unit ec'!O10,"")</f>
        <v>2.6588673225206056</v>
      </c>
      <c r="P16" s="18">
        <f>IFERROR('SwapDesk — Assumptions · Commer'!B11/'SwapDesk — Operations · Unit ec'!P10,"")</f>
        <v>2.658867322520606</v>
      </c>
      <c r="Q16" s="18">
        <f>IFERROR('SwapDesk — Assumptions · Commer'!B11/'SwapDesk — Operations · Unit ec'!Q10,"")</f>
        <v>2.658867322520606</v>
      </c>
      <c r="R16" s="18">
        <f>IFERROR('SwapDesk — Assumptions · Commer'!B11/'SwapDesk — Operations · Unit ec'!R10,"")</f>
        <v>2.658867322520606</v>
      </c>
      <c r="S16" s="18">
        <f>IFERROR('SwapDesk — Assumptions · Commer'!B11/'SwapDesk — Operations · Unit ec'!S10,"")</f>
        <v>2.658867322520606</v>
      </c>
      <c r="T16" s="18">
        <f>IFERROR('SwapDesk — Assumptions · Commer'!B11/'SwapDesk — Operations · Unit ec'!T10,"")</f>
        <v>2.6588673225206056</v>
      </c>
      <c r="U16" s="18">
        <f>IFERROR('SwapDesk — Assumptions · Commer'!B11/'SwapDesk — Operations · Unit ec'!U10,"")</f>
        <v>2.658867322520606</v>
      </c>
      <c r="V16" s="18">
        <f>IFERROR('SwapDesk — Assumptions · Commer'!B11/'SwapDesk — Operations · Unit ec'!V10,"")</f>
        <v>2.658867322520606</v>
      </c>
      <c r="W16" s="18">
        <f>IFERROR('SwapDesk — Assumptions · Commer'!B11/'SwapDesk — Operations · Unit ec'!W10,"")</f>
        <v>2.658867322520606</v>
      </c>
      <c r="X16" s="18">
        <f>IFERROR('SwapDesk — Assumptions · Commer'!B11/'SwapDesk — Operations · Unit ec'!X10,"")</f>
        <v>2.658867322520606</v>
      </c>
      <c r="Y16" s="18">
        <f>IFERROR('SwapDesk — Assumptions · Commer'!B11/'SwapDesk — Operations · Unit ec'!Y10,"")</f>
        <v>2.6588673225206056</v>
      </c>
    </row>
  </sheetData>
  <mergeCells count="1">
    <mergeCell ref="A1:Y1"/>
  </mergeCells>
</worksheet>
</file>

<file path=xl/worksheets/sheet7.xml><?xml version="1.0" encoding="utf-8"?>
<worksheet xmlns="http://schemas.openxmlformats.org/spreadsheetml/2006/main">
  <dimension ref="A1:Z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SwapDesk — Financials · Founder payroll schedule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2026-09</t>
        </is>
      </c>
      <c r="C4" t="inlineStr" s="15">
        <is>
          <t xml:space="preserve">2026-10</t>
        </is>
      </c>
      <c r="D4" t="inlineStr" s="4">
        <is>
          <t xml:space="preserve">2026-11</t>
        </is>
      </c>
      <c r="E4" t="inlineStr" s="4">
        <is>
          <t xml:space="preserve">2026-12</t>
        </is>
      </c>
      <c r="F4" t="inlineStr" s="15">
        <is>
          <t xml:space="preserve">2027-01</t>
        </is>
      </c>
      <c r="G4" t="inlineStr" s="4">
        <is>
          <t xml:space="preserve">2027-02</t>
        </is>
      </c>
      <c r="H4" t="inlineStr" s="4">
        <is>
          <t xml:space="preserve">2027-03</t>
        </is>
      </c>
      <c r="I4" t="inlineStr" s="15">
        <is>
          <t xml:space="preserve">2027-04</t>
        </is>
      </c>
      <c r="J4" t="inlineStr" s="4">
        <is>
          <t xml:space="preserve">2027-05</t>
        </is>
      </c>
      <c r="K4" t="inlineStr" s="4">
        <is>
          <t xml:space="preserve">2027-06</t>
        </is>
      </c>
      <c r="L4" t="inlineStr" s="15">
        <is>
          <t xml:space="preserve">2027-07</t>
        </is>
      </c>
      <c r="M4" t="inlineStr" s="4">
        <is>
          <t xml:space="preserve">2027-08</t>
        </is>
      </c>
      <c r="N4" t="inlineStr" s="4">
        <is>
          <t xml:space="preserve">2027-09</t>
        </is>
      </c>
      <c r="O4" t="inlineStr" s="15">
        <is>
          <t xml:space="preserve">2027-10</t>
        </is>
      </c>
      <c r="P4" t="inlineStr" s="4">
        <is>
          <t xml:space="preserve">2027-11</t>
        </is>
      </c>
      <c r="Q4" t="inlineStr" s="4">
        <is>
          <t xml:space="preserve">2027-12</t>
        </is>
      </c>
      <c r="R4" t="inlineStr" s="15">
        <is>
          <t xml:space="preserve">2028-01</t>
        </is>
      </c>
      <c r="S4" t="inlineStr" s="4">
        <is>
          <t xml:space="preserve">2028-02</t>
        </is>
      </c>
      <c r="T4" t="inlineStr" s="4">
        <is>
          <t xml:space="preserve">2028-03</t>
        </is>
      </c>
      <c r="U4" t="inlineStr" s="15">
        <is>
          <t xml:space="preserve">2028-04</t>
        </is>
      </c>
      <c r="V4" t="inlineStr" s="4">
        <is>
          <t xml:space="preserve">2028-05</t>
        </is>
      </c>
      <c r="W4" t="inlineStr" s="4">
        <is>
          <t xml:space="preserve">2028-06</t>
        </is>
      </c>
      <c r="X4" t="inlineStr" s="15">
        <is>
          <t xml:space="preserve">2028-07</t>
        </is>
      </c>
      <c r="Y4" t="inlineStr" s="4">
        <is>
          <t xml:space="preserve">2028-08</t>
        </is>
      </c>
      <c r="Z4" t="inlineStr" s="4">
        <is>
          <t xml:space="preserve">2028-09</t>
        </is>
      </c>
    </row>
    <row r="5">
      <c r="A5" t="inlineStr" s="5">
        <is>
          <t xml:space="preserve">Founder payroll</t>
        </is>
      </c>
      <c r="B5" s="6">
        <f>SUM('SwapDesk — Financials · Founder'!B6)</f>
        <v>0</v>
      </c>
      <c r="C5" s="6">
        <f>SUM('SwapDesk — Financials · Founder'!C6)</f>
        <v>0</v>
      </c>
      <c r="D5" s="6">
        <f>SUM('SwapDesk — Financials · Founder'!D6)</f>
        <v>0</v>
      </c>
      <c r="E5" s="6">
        <f>SUM('SwapDesk — Financials · Founder'!E6)</f>
        <v>0</v>
      </c>
      <c r="F5" s="6">
        <f>SUM('SwapDesk — Financials · Founder'!F6)</f>
        <v>2000</v>
      </c>
      <c r="G5" s="6">
        <f>SUM('SwapDesk — Financials · Founder'!G6)</f>
        <v>2000</v>
      </c>
      <c r="H5" s="6">
        <f>SUM('SwapDesk — Financials · Founder'!H6)</f>
        <v>2000</v>
      </c>
      <c r="I5" s="6">
        <f>SUM('SwapDesk — Financials · Founder'!I6)</f>
        <v>2000</v>
      </c>
      <c r="J5" s="6">
        <f>SUM('SwapDesk — Financials · Founder'!J6)</f>
        <v>2000</v>
      </c>
      <c r="K5" s="6">
        <f>SUM('SwapDesk — Financials · Founder'!K6)</f>
        <v>2000</v>
      </c>
      <c r="L5" s="6">
        <f>SUM('SwapDesk — Financials · Founder'!L6)</f>
        <v>2000</v>
      </c>
      <c r="M5" s="6">
        <f>SUM('SwapDesk — Financials · Founder'!M6)</f>
        <v>2000</v>
      </c>
      <c r="N5" s="6">
        <f>SUM('SwapDesk — Financials · Founder'!N6)</f>
        <v>2000</v>
      </c>
      <c r="O5" s="6">
        <f>SUM('SwapDesk — Financials · Founder'!O6)</f>
        <v>2000</v>
      </c>
      <c r="P5" s="6">
        <f>SUM('SwapDesk — Financials · Founder'!P6)</f>
        <v>2000</v>
      </c>
      <c r="Q5" s="6">
        <f>SUM('SwapDesk — Financials · Founder'!Q6)</f>
        <v>2000</v>
      </c>
      <c r="R5" s="6">
        <f>SUM('SwapDesk — Financials · Founder'!R6)</f>
        <v>2000</v>
      </c>
      <c r="S5" s="6">
        <f>SUM('SwapDesk — Financials · Founder'!S6)</f>
        <v>2000</v>
      </c>
      <c r="T5" s="6">
        <f>SUM('SwapDesk — Financials · Founder'!T6)</f>
        <v>2000</v>
      </c>
      <c r="U5" s="6">
        <f>SUM('SwapDesk — Financials · Founder'!U6)</f>
        <v>2000</v>
      </c>
      <c r="V5" s="6">
        <f>SUM('SwapDesk — Financials · Founder'!V6)</f>
        <v>2000</v>
      </c>
      <c r="W5" s="6">
        <f>SUM('SwapDesk — Financials · Founder'!W6)</f>
        <v>2000</v>
      </c>
      <c r="X5" s="6">
        <f>SUM('SwapDesk — Financials · Founder'!X6)</f>
        <v>2000</v>
      </c>
      <c r="Y5" s="6">
        <f>SUM('SwapDesk — Financials · Founder'!Y6)</f>
        <v>2000</v>
      </c>
      <c r="Z5" s="6">
        <f>SUM('SwapDesk — Financials · Founder'!Z6)</f>
        <v>2000</v>
      </c>
    </row>
    <row r="6" outlineLevel="1">
      <c r="A6" t="inlineStr" s="16">
        <is>
          <t xml:space="preserve">Placeholder founder 1</t>
        </is>
      </c>
      <c r="B6" s="9">
        <f>0</f>
        <v>0</v>
      </c>
      <c r="C6" s="9">
        <f>IF(IF(IF(ISERROR(DATE(2026,10,1)&gt;=DATE(YEAR('SwapDesk — Assumptions · Placeh'!B5),MONTH('SwapDesk — Assumptions · Placeh'!B5),1)),DATE(2026,10,1)&gt;=DATE(YEAR('SwapDesk — Assumptions · Placeh'!B5),MONTH('SwapDesk — Assumptions · Placeh'!B5),1),IF(DATE(YEAR('SwapDesk — Assumptions · Placeh'!B5),MONTH('SwapDesk — Assumptions · Placeh'!B5),1)="","",DATE(2026,10,1)&gt;=DATE(YEAR('SwapDesk — Assumptions · Placeh'!B5),MONTH('SwapDesk — Assumptions · Placeh'!B5),1)))="",FALSE,IF(ISERROR(DATE(2026,10,1)&gt;=DATE(YEAR('SwapDesk — Assumptions · Placeh'!B5),MONTH('SwapDesk — Assumptions · Placeh'!B5),1)),DATE(2026,10,1)&gt;=DATE(YEAR('SwapDesk — Assumptions · Placeh'!B5),MONTH('SwapDesk — Assumptions · Placeh'!B5),1),IF(DATE(YEAR('SwapDesk — Assumptions · Placeh'!B5),MONTH('SwapDesk — Assumptions · Placeh'!B5),1)="","",DATE(2026,10,1)&gt;=DATE(YEAR('SwapDesk — Assumptions · Placeh'!B5),MONTH('SwapDesk — Assumptions · Placeh'!B5),1)))),'SwapDesk — Assumptions · Placeh'!C5/12,0)</f>
        <v>0</v>
      </c>
      <c r="D6" s="9">
        <f>IF(IF(IF(ISERROR(DATE(2026,11,1)&gt;=DATE(YEAR('SwapDesk — Assumptions · Placeh'!B5),MONTH('SwapDesk — Assumptions · Placeh'!B5),1)),DATE(2026,11,1)&gt;=DATE(YEAR('SwapDesk — Assumptions · Placeh'!B5),MONTH('SwapDesk — Assumptions · Placeh'!B5),1),IF(DATE(YEAR('SwapDesk — Assumptions · Placeh'!B5),MONTH('SwapDesk — Assumptions · Placeh'!B5),1)="","",DATE(2026,11,1)&gt;=DATE(YEAR('SwapDesk — Assumptions · Placeh'!B5),MONTH('SwapDesk — Assumptions · Placeh'!B5),1)))="",FALSE,IF(ISERROR(DATE(2026,11,1)&gt;=DATE(YEAR('SwapDesk — Assumptions · Placeh'!B5),MONTH('SwapDesk — Assumptions · Placeh'!B5),1)),DATE(2026,11,1)&gt;=DATE(YEAR('SwapDesk — Assumptions · Placeh'!B5),MONTH('SwapDesk — Assumptions · Placeh'!B5),1),IF(DATE(YEAR('SwapDesk — Assumptions · Placeh'!B5),MONTH('SwapDesk — Assumptions · Placeh'!B5),1)="","",DATE(2026,11,1)&gt;=DATE(YEAR('SwapDesk — Assumptions · Placeh'!B5),MONTH('SwapDesk — Assumptions · Placeh'!B5),1)))),'SwapDesk — Assumptions · Placeh'!C5/12,0)</f>
        <v>0</v>
      </c>
      <c r="E6" s="9">
        <f>IF(IF(IF(ISERROR(DATE(2026,12,1)&gt;=DATE(YEAR('SwapDesk — Assumptions · Placeh'!B5),MONTH('SwapDesk — Assumptions · Placeh'!B5),1)),DATE(2026,12,1)&gt;=DATE(YEAR('SwapDesk — Assumptions · Placeh'!B5),MONTH('SwapDesk — Assumptions · Placeh'!B5),1),IF(DATE(YEAR('SwapDesk — Assumptions · Placeh'!B5),MONTH('SwapDesk — Assumptions · Placeh'!B5),1)="","",DATE(2026,12,1)&gt;=DATE(YEAR('SwapDesk — Assumptions · Placeh'!B5),MONTH('SwapDesk — Assumptions · Placeh'!B5),1)))="",FALSE,IF(ISERROR(DATE(2026,12,1)&gt;=DATE(YEAR('SwapDesk — Assumptions · Placeh'!B5),MONTH('SwapDesk — Assumptions · Placeh'!B5),1)),DATE(2026,12,1)&gt;=DATE(YEAR('SwapDesk — Assumptions · Placeh'!B5),MONTH('SwapDesk — Assumptions · Placeh'!B5),1),IF(DATE(YEAR('SwapDesk — Assumptions · Placeh'!B5),MONTH('SwapDesk — Assumptions · Placeh'!B5),1)="","",DATE(2026,12,1)&gt;=DATE(YEAR('SwapDesk — Assumptions · Placeh'!B5),MONTH('SwapDesk — Assumptions · Placeh'!B5),1)))),'SwapDesk — Assumptions · Placeh'!C5/12,0)</f>
        <v>0</v>
      </c>
      <c r="F6" s="9">
        <f>IF(IF(IF(ISERROR(DATE(2027,1,1)&gt;=DATE(YEAR('SwapDesk — Assumptions · Placeh'!B5),MONTH('SwapDesk — Assumptions · Placeh'!B5),1)),DATE(2027,1,1)&gt;=DATE(YEAR('SwapDesk — Assumptions · Placeh'!B5),MONTH('SwapDesk — Assumptions · Placeh'!B5),1),IF(DATE(YEAR('SwapDesk — Assumptions · Placeh'!B5),MONTH('SwapDesk — Assumptions · Placeh'!B5),1)="","",DATE(2027,1,1)&gt;=DATE(YEAR('SwapDesk — Assumptions · Placeh'!B5),MONTH('SwapDesk — Assumptions · Placeh'!B5),1)))="",FALSE,IF(ISERROR(DATE(2027,1,1)&gt;=DATE(YEAR('SwapDesk — Assumptions · Placeh'!B5),MONTH('SwapDesk — Assumptions · Placeh'!B5),1)),DATE(2027,1,1)&gt;=DATE(YEAR('SwapDesk — Assumptions · Placeh'!B5),MONTH('SwapDesk — Assumptions · Placeh'!B5),1),IF(DATE(YEAR('SwapDesk — Assumptions · Placeh'!B5),MONTH('SwapDesk — Assumptions · Placeh'!B5),1)="","",DATE(2027,1,1)&gt;=DATE(YEAR('SwapDesk — Assumptions · Placeh'!B5),MONTH('SwapDesk — Assumptions · Placeh'!B5),1)))),'SwapDesk — Assumptions · Placeh'!C5/12,0)</f>
        <v>2000</v>
      </c>
      <c r="G6" s="9">
        <f>IF(IF(IF(ISERROR(DATE(2027,2,1)&gt;=DATE(YEAR('SwapDesk — Assumptions · Placeh'!B5),MONTH('SwapDesk — Assumptions · Placeh'!B5),1)),DATE(2027,2,1)&gt;=DATE(YEAR('SwapDesk — Assumptions · Placeh'!B5),MONTH('SwapDesk — Assumptions · Placeh'!B5),1),IF(DATE(YEAR('SwapDesk — Assumptions · Placeh'!B5),MONTH('SwapDesk — Assumptions · Placeh'!B5),1)="","",DATE(2027,2,1)&gt;=DATE(YEAR('SwapDesk — Assumptions · Placeh'!B5),MONTH('SwapDesk — Assumptions · Placeh'!B5),1)))="",FALSE,IF(ISERROR(DATE(2027,2,1)&gt;=DATE(YEAR('SwapDesk — Assumptions · Placeh'!B5),MONTH('SwapDesk — Assumptions · Placeh'!B5),1)),DATE(2027,2,1)&gt;=DATE(YEAR('SwapDesk — Assumptions · Placeh'!B5),MONTH('SwapDesk — Assumptions · Placeh'!B5),1),IF(DATE(YEAR('SwapDesk — Assumptions · Placeh'!B5),MONTH('SwapDesk — Assumptions · Placeh'!B5),1)="","",DATE(2027,2,1)&gt;=DATE(YEAR('SwapDesk — Assumptions · Placeh'!B5),MONTH('SwapDesk — Assumptions · Placeh'!B5),1)))),'SwapDesk — Assumptions · Placeh'!C5/12,0)</f>
        <v>2000</v>
      </c>
      <c r="H6" s="9">
        <f>IF(IF(IF(ISERROR(DATE(2027,3,1)&gt;=DATE(YEAR('SwapDesk — Assumptions · Placeh'!B5),MONTH('SwapDesk — Assumptions · Placeh'!B5),1)),DATE(2027,3,1)&gt;=DATE(YEAR('SwapDesk — Assumptions · Placeh'!B5),MONTH('SwapDesk — Assumptions · Placeh'!B5),1),IF(DATE(YEAR('SwapDesk — Assumptions · Placeh'!B5),MONTH('SwapDesk — Assumptions · Placeh'!B5),1)="","",DATE(2027,3,1)&gt;=DATE(YEAR('SwapDesk — Assumptions · Placeh'!B5),MONTH('SwapDesk — Assumptions · Placeh'!B5),1)))="",FALSE,IF(ISERROR(DATE(2027,3,1)&gt;=DATE(YEAR('SwapDesk — Assumptions · Placeh'!B5),MONTH('SwapDesk — Assumptions · Placeh'!B5),1)),DATE(2027,3,1)&gt;=DATE(YEAR('SwapDesk — Assumptions · Placeh'!B5),MONTH('SwapDesk — Assumptions · Placeh'!B5),1),IF(DATE(YEAR('SwapDesk — Assumptions · Placeh'!B5),MONTH('SwapDesk — Assumptions · Placeh'!B5),1)="","",DATE(2027,3,1)&gt;=DATE(YEAR('SwapDesk — Assumptions · Placeh'!B5),MONTH('SwapDesk — Assumptions · Placeh'!B5),1)))),'SwapDesk — Assumptions · Placeh'!C5/12,0)</f>
        <v>2000</v>
      </c>
      <c r="I6" s="9">
        <f>IF(IF(IF(ISERROR(DATE(2027,4,1)&gt;=DATE(YEAR('SwapDesk — Assumptions · Placeh'!B5),MONTH('SwapDesk — Assumptions · Placeh'!B5),1)),DATE(2027,4,1)&gt;=DATE(YEAR('SwapDesk — Assumptions · Placeh'!B5),MONTH('SwapDesk — Assumptions · Placeh'!B5),1),IF(DATE(YEAR('SwapDesk — Assumptions · Placeh'!B5),MONTH('SwapDesk — Assumptions · Placeh'!B5),1)="","",DATE(2027,4,1)&gt;=DATE(YEAR('SwapDesk — Assumptions · Placeh'!B5),MONTH('SwapDesk — Assumptions · Placeh'!B5),1)))="",FALSE,IF(ISERROR(DATE(2027,4,1)&gt;=DATE(YEAR('SwapDesk — Assumptions · Placeh'!B5),MONTH('SwapDesk — Assumptions · Placeh'!B5),1)),DATE(2027,4,1)&gt;=DATE(YEAR('SwapDesk — Assumptions · Placeh'!B5),MONTH('SwapDesk — Assumptions · Placeh'!B5),1),IF(DATE(YEAR('SwapDesk — Assumptions · Placeh'!B5),MONTH('SwapDesk — Assumptions · Placeh'!B5),1)="","",DATE(2027,4,1)&gt;=DATE(YEAR('SwapDesk — Assumptions · Placeh'!B5),MONTH('SwapDesk — Assumptions · Placeh'!B5),1)))),'SwapDesk — Assumptions · Placeh'!C5/12,0)</f>
        <v>2000</v>
      </c>
      <c r="J6" s="9">
        <f>IF(IF(IF(ISERROR(DATE(2027,5,1)&gt;=DATE(YEAR('SwapDesk — Assumptions · Placeh'!B5),MONTH('SwapDesk — Assumptions · Placeh'!B5),1)),DATE(2027,5,1)&gt;=DATE(YEAR('SwapDesk — Assumptions · Placeh'!B5),MONTH('SwapDesk — Assumptions · Placeh'!B5),1),IF(DATE(YEAR('SwapDesk — Assumptions · Placeh'!B5),MONTH('SwapDesk — Assumptions · Placeh'!B5),1)="","",DATE(2027,5,1)&gt;=DATE(YEAR('SwapDesk — Assumptions · Placeh'!B5),MONTH('SwapDesk — Assumptions · Placeh'!B5),1)))="",FALSE,IF(ISERROR(DATE(2027,5,1)&gt;=DATE(YEAR('SwapDesk — Assumptions · Placeh'!B5),MONTH('SwapDesk — Assumptions · Placeh'!B5),1)),DATE(2027,5,1)&gt;=DATE(YEAR('SwapDesk — Assumptions · Placeh'!B5),MONTH('SwapDesk — Assumptions · Placeh'!B5),1),IF(DATE(YEAR('SwapDesk — Assumptions · Placeh'!B5),MONTH('SwapDesk — Assumptions · Placeh'!B5),1)="","",DATE(2027,5,1)&gt;=DATE(YEAR('SwapDesk — Assumptions · Placeh'!B5),MONTH('SwapDesk — Assumptions · Placeh'!B5),1)))),'SwapDesk — Assumptions · Placeh'!C5/12,0)</f>
        <v>2000</v>
      </c>
      <c r="K6" s="9">
        <f>IF(IF(IF(ISERROR(DATE(2027,6,1)&gt;=DATE(YEAR('SwapDesk — Assumptions · Placeh'!B5),MONTH('SwapDesk — Assumptions · Placeh'!B5),1)),DATE(2027,6,1)&gt;=DATE(YEAR('SwapDesk — Assumptions · Placeh'!B5),MONTH('SwapDesk — Assumptions · Placeh'!B5),1),IF(DATE(YEAR('SwapDesk — Assumptions · Placeh'!B5),MONTH('SwapDesk — Assumptions · Placeh'!B5),1)="","",DATE(2027,6,1)&gt;=DATE(YEAR('SwapDesk — Assumptions · Placeh'!B5),MONTH('SwapDesk — Assumptions · Placeh'!B5),1)))="",FALSE,IF(ISERROR(DATE(2027,6,1)&gt;=DATE(YEAR('SwapDesk — Assumptions · Placeh'!B5),MONTH('SwapDesk — Assumptions · Placeh'!B5),1)),DATE(2027,6,1)&gt;=DATE(YEAR('SwapDesk — Assumptions · Placeh'!B5),MONTH('SwapDesk — Assumptions · Placeh'!B5),1),IF(DATE(YEAR('SwapDesk — Assumptions · Placeh'!B5),MONTH('SwapDesk — Assumptions · Placeh'!B5),1)="","",DATE(2027,6,1)&gt;=DATE(YEAR('SwapDesk — Assumptions · Placeh'!B5),MONTH('SwapDesk — Assumptions · Placeh'!B5),1)))),'SwapDesk — Assumptions · Placeh'!C5/12,0)</f>
        <v>2000</v>
      </c>
      <c r="L6" s="9">
        <f>IF(IF(IF(ISERROR(DATE(2027,7,1)&gt;=DATE(YEAR('SwapDesk — Assumptions · Placeh'!B5),MONTH('SwapDesk — Assumptions · Placeh'!B5),1)),DATE(2027,7,1)&gt;=DATE(YEAR('SwapDesk — Assumptions · Placeh'!B5),MONTH('SwapDesk — Assumptions · Placeh'!B5),1),IF(DATE(YEAR('SwapDesk — Assumptions · Placeh'!B5),MONTH('SwapDesk — Assumptions · Placeh'!B5),1)="","",DATE(2027,7,1)&gt;=DATE(YEAR('SwapDesk — Assumptions · Placeh'!B5),MONTH('SwapDesk — Assumptions · Placeh'!B5),1)))="",FALSE,IF(ISERROR(DATE(2027,7,1)&gt;=DATE(YEAR('SwapDesk — Assumptions · Placeh'!B5),MONTH('SwapDesk — Assumptions · Placeh'!B5),1)),DATE(2027,7,1)&gt;=DATE(YEAR('SwapDesk — Assumptions · Placeh'!B5),MONTH('SwapDesk — Assumptions · Placeh'!B5),1),IF(DATE(YEAR('SwapDesk — Assumptions · Placeh'!B5),MONTH('SwapDesk — Assumptions · Placeh'!B5),1)="","",DATE(2027,7,1)&gt;=DATE(YEAR('SwapDesk — Assumptions · Placeh'!B5),MONTH('SwapDesk — Assumptions · Placeh'!B5),1)))),'SwapDesk — Assumptions · Placeh'!C5/12,0)</f>
        <v>2000</v>
      </c>
      <c r="M6" s="9">
        <f>IF(IF(IF(ISERROR(DATE(2027,8,1)&gt;=DATE(YEAR('SwapDesk — Assumptions · Placeh'!B5),MONTH('SwapDesk — Assumptions · Placeh'!B5),1)),DATE(2027,8,1)&gt;=DATE(YEAR('SwapDesk — Assumptions · Placeh'!B5),MONTH('SwapDesk — Assumptions · Placeh'!B5),1),IF(DATE(YEAR('SwapDesk — Assumptions · Placeh'!B5),MONTH('SwapDesk — Assumptions · Placeh'!B5),1)="","",DATE(2027,8,1)&gt;=DATE(YEAR('SwapDesk — Assumptions · Placeh'!B5),MONTH('SwapDesk — Assumptions · Placeh'!B5),1)))="",FALSE,IF(ISERROR(DATE(2027,8,1)&gt;=DATE(YEAR('SwapDesk — Assumptions · Placeh'!B5),MONTH('SwapDesk — Assumptions · Placeh'!B5),1)),DATE(2027,8,1)&gt;=DATE(YEAR('SwapDesk — Assumptions · Placeh'!B5),MONTH('SwapDesk — Assumptions · Placeh'!B5),1),IF(DATE(YEAR('SwapDesk — Assumptions · Placeh'!B5),MONTH('SwapDesk — Assumptions · Placeh'!B5),1)="","",DATE(2027,8,1)&gt;=DATE(YEAR('SwapDesk — Assumptions · Placeh'!B5),MONTH('SwapDesk — Assumptions · Placeh'!B5),1)))),'SwapDesk — Assumptions · Placeh'!C5/12,0)</f>
        <v>2000</v>
      </c>
      <c r="N6" s="9">
        <f>IF(IF(IF(ISERROR(DATE(2027,9,1)&gt;=DATE(YEAR('SwapDesk — Assumptions · Placeh'!B5),MONTH('SwapDesk — Assumptions · Placeh'!B5),1)),DATE(2027,9,1)&gt;=DATE(YEAR('SwapDesk — Assumptions · Placeh'!B5),MONTH('SwapDesk — Assumptions · Placeh'!B5),1),IF(DATE(YEAR('SwapDesk — Assumptions · Placeh'!B5),MONTH('SwapDesk — Assumptions · Placeh'!B5),1)="","",DATE(2027,9,1)&gt;=DATE(YEAR('SwapDesk — Assumptions · Placeh'!B5),MONTH('SwapDesk — Assumptions · Placeh'!B5),1)))="",FALSE,IF(ISERROR(DATE(2027,9,1)&gt;=DATE(YEAR('SwapDesk — Assumptions · Placeh'!B5),MONTH('SwapDesk — Assumptions · Placeh'!B5),1)),DATE(2027,9,1)&gt;=DATE(YEAR('SwapDesk — Assumptions · Placeh'!B5),MONTH('SwapDesk — Assumptions · Placeh'!B5),1),IF(DATE(YEAR('SwapDesk — Assumptions · Placeh'!B5),MONTH('SwapDesk — Assumptions · Placeh'!B5),1)="","",DATE(2027,9,1)&gt;=DATE(YEAR('SwapDesk — Assumptions · Placeh'!B5),MONTH('SwapDesk — Assumptions · Placeh'!B5),1)))),'SwapDesk — Assumptions · Placeh'!C5/12,0)</f>
        <v>2000</v>
      </c>
      <c r="O6" s="9">
        <f>IF(IF(IF(ISERROR(DATE(2027,10,1)&gt;=DATE(YEAR('SwapDesk — Assumptions · Placeh'!B5),MONTH('SwapDesk — Assumptions · Placeh'!B5),1)),DATE(2027,10,1)&gt;=DATE(YEAR('SwapDesk — Assumptions · Placeh'!B5),MONTH('SwapDesk — Assumptions · Placeh'!B5),1),IF(DATE(YEAR('SwapDesk — Assumptions · Placeh'!B5),MONTH('SwapDesk — Assumptions · Placeh'!B5),1)="","",DATE(2027,10,1)&gt;=DATE(YEAR('SwapDesk — Assumptions · Placeh'!B5),MONTH('SwapDesk — Assumptions · Placeh'!B5),1)))="",FALSE,IF(ISERROR(DATE(2027,10,1)&gt;=DATE(YEAR('SwapDesk — Assumptions · Placeh'!B5),MONTH('SwapDesk — Assumptions · Placeh'!B5),1)),DATE(2027,10,1)&gt;=DATE(YEAR('SwapDesk — Assumptions · Placeh'!B5),MONTH('SwapDesk — Assumptions · Placeh'!B5),1),IF(DATE(YEAR('SwapDesk — Assumptions · Placeh'!B5),MONTH('SwapDesk — Assumptions · Placeh'!B5),1)="","",DATE(2027,10,1)&gt;=DATE(YEAR('SwapDesk — Assumptions · Placeh'!B5),MONTH('SwapDesk — Assumptions · Placeh'!B5),1)))),'SwapDesk — Assumptions · Placeh'!C5/12,0)</f>
        <v>2000</v>
      </c>
      <c r="P6" s="9">
        <f>IF(IF(IF(ISERROR(DATE(2027,11,1)&gt;=DATE(YEAR('SwapDesk — Assumptions · Placeh'!B5),MONTH('SwapDesk — Assumptions · Placeh'!B5),1)),DATE(2027,11,1)&gt;=DATE(YEAR('SwapDesk — Assumptions · Placeh'!B5),MONTH('SwapDesk — Assumptions · Placeh'!B5),1),IF(DATE(YEAR('SwapDesk — Assumptions · Placeh'!B5),MONTH('SwapDesk — Assumptions · Placeh'!B5),1)="","",DATE(2027,11,1)&gt;=DATE(YEAR('SwapDesk — Assumptions · Placeh'!B5),MONTH('SwapDesk — Assumptions · Placeh'!B5),1)))="",FALSE,IF(ISERROR(DATE(2027,11,1)&gt;=DATE(YEAR('SwapDesk — Assumptions · Placeh'!B5),MONTH('SwapDesk — Assumptions · Placeh'!B5),1)),DATE(2027,11,1)&gt;=DATE(YEAR('SwapDesk — Assumptions · Placeh'!B5),MONTH('SwapDesk — Assumptions · Placeh'!B5),1),IF(DATE(YEAR('SwapDesk — Assumptions · Placeh'!B5),MONTH('SwapDesk — Assumptions · Placeh'!B5),1)="","",DATE(2027,11,1)&gt;=DATE(YEAR('SwapDesk — Assumptions · Placeh'!B5),MONTH('SwapDesk — Assumptions · Placeh'!B5),1)))),'SwapDesk — Assumptions · Placeh'!C5/12,0)</f>
        <v>2000</v>
      </c>
      <c r="Q6" s="9">
        <f>IF(IF(IF(ISERROR(DATE(2027,12,1)&gt;=DATE(YEAR('SwapDesk — Assumptions · Placeh'!B5),MONTH('SwapDesk — Assumptions · Placeh'!B5),1)),DATE(2027,12,1)&gt;=DATE(YEAR('SwapDesk — Assumptions · Placeh'!B5),MONTH('SwapDesk — Assumptions · Placeh'!B5),1),IF(DATE(YEAR('SwapDesk — Assumptions · Placeh'!B5),MONTH('SwapDesk — Assumptions · Placeh'!B5),1)="","",DATE(2027,12,1)&gt;=DATE(YEAR('SwapDesk — Assumptions · Placeh'!B5),MONTH('SwapDesk — Assumptions · Placeh'!B5),1)))="",FALSE,IF(ISERROR(DATE(2027,12,1)&gt;=DATE(YEAR('SwapDesk — Assumptions · Placeh'!B5),MONTH('SwapDesk — Assumptions · Placeh'!B5),1)),DATE(2027,12,1)&gt;=DATE(YEAR('SwapDesk — Assumptions · Placeh'!B5),MONTH('SwapDesk — Assumptions · Placeh'!B5),1),IF(DATE(YEAR('SwapDesk — Assumptions · Placeh'!B5),MONTH('SwapDesk — Assumptions · Placeh'!B5),1)="","",DATE(2027,12,1)&gt;=DATE(YEAR('SwapDesk — Assumptions · Placeh'!B5),MONTH('SwapDesk — Assumptions · Placeh'!B5),1)))),'SwapDesk — Assumptions · Placeh'!C5/12,0)</f>
        <v>2000</v>
      </c>
      <c r="R6" s="9">
        <f>IF(IF(IF(ISERROR(DATE(2028,1,1)&gt;=DATE(YEAR('SwapDesk — Assumptions · Placeh'!B5),MONTH('SwapDesk — Assumptions · Placeh'!B5),1)),DATE(2028,1,1)&gt;=DATE(YEAR('SwapDesk — Assumptions · Placeh'!B5),MONTH('SwapDesk — Assumptions · Placeh'!B5),1),IF(DATE(YEAR('SwapDesk — Assumptions · Placeh'!B5),MONTH('SwapDesk — Assumptions · Placeh'!B5),1)="","",DATE(2028,1,1)&gt;=DATE(YEAR('SwapDesk — Assumptions · Placeh'!B5),MONTH('SwapDesk — Assumptions · Placeh'!B5),1)))="",FALSE,IF(ISERROR(DATE(2028,1,1)&gt;=DATE(YEAR('SwapDesk — Assumptions · Placeh'!B5),MONTH('SwapDesk — Assumptions · Placeh'!B5),1)),DATE(2028,1,1)&gt;=DATE(YEAR('SwapDesk — Assumptions · Placeh'!B5),MONTH('SwapDesk — Assumptions · Placeh'!B5),1),IF(DATE(YEAR('SwapDesk — Assumptions · Placeh'!B5),MONTH('SwapDesk — Assumptions · Placeh'!B5),1)="","",DATE(2028,1,1)&gt;=DATE(YEAR('SwapDesk — Assumptions · Placeh'!B5),MONTH('SwapDesk — Assumptions · Placeh'!B5),1)))),'SwapDesk — Assumptions · Placeh'!C5/12,0)</f>
        <v>2000</v>
      </c>
      <c r="S6" s="9">
        <f>IF(IF(IF(ISERROR(DATE(2028,2,1)&gt;=DATE(YEAR('SwapDesk — Assumptions · Placeh'!B5),MONTH('SwapDesk — Assumptions · Placeh'!B5),1)),DATE(2028,2,1)&gt;=DATE(YEAR('SwapDesk — Assumptions · Placeh'!B5),MONTH('SwapDesk — Assumptions · Placeh'!B5),1),IF(DATE(YEAR('SwapDesk — Assumptions · Placeh'!B5),MONTH('SwapDesk — Assumptions · Placeh'!B5),1)="","",DATE(2028,2,1)&gt;=DATE(YEAR('SwapDesk — Assumptions · Placeh'!B5),MONTH('SwapDesk — Assumptions · Placeh'!B5),1)))="",FALSE,IF(ISERROR(DATE(2028,2,1)&gt;=DATE(YEAR('SwapDesk — Assumptions · Placeh'!B5),MONTH('SwapDesk — Assumptions · Placeh'!B5),1)),DATE(2028,2,1)&gt;=DATE(YEAR('SwapDesk — Assumptions · Placeh'!B5),MONTH('SwapDesk — Assumptions · Placeh'!B5),1),IF(DATE(YEAR('SwapDesk — Assumptions · Placeh'!B5),MONTH('SwapDesk — Assumptions · Placeh'!B5),1)="","",DATE(2028,2,1)&gt;=DATE(YEAR('SwapDesk — Assumptions · Placeh'!B5),MONTH('SwapDesk — Assumptions · Placeh'!B5),1)))),'SwapDesk — Assumptions · Placeh'!C5/12,0)</f>
        <v>2000</v>
      </c>
      <c r="T6" s="9">
        <f>IF(IF(IF(ISERROR(DATE(2028,3,1)&gt;=DATE(YEAR('SwapDesk — Assumptions · Placeh'!B5),MONTH('SwapDesk — Assumptions · Placeh'!B5),1)),DATE(2028,3,1)&gt;=DATE(YEAR('SwapDesk — Assumptions · Placeh'!B5),MONTH('SwapDesk — Assumptions · Placeh'!B5),1),IF(DATE(YEAR('SwapDesk — Assumptions · Placeh'!B5),MONTH('SwapDesk — Assumptions · Placeh'!B5),1)="","",DATE(2028,3,1)&gt;=DATE(YEAR('SwapDesk — Assumptions · Placeh'!B5),MONTH('SwapDesk — Assumptions · Placeh'!B5),1)))="",FALSE,IF(ISERROR(DATE(2028,3,1)&gt;=DATE(YEAR('SwapDesk — Assumptions · Placeh'!B5),MONTH('SwapDesk — Assumptions · Placeh'!B5),1)),DATE(2028,3,1)&gt;=DATE(YEAR('SwapDesk — Assumptions · Placeh'!B5),MONTH('SwapDesk — Assumptions · Placeh'!B5),1),IF(DATE(YEAR('SwapDesk — Assumptions · Placeh'!B5),MONTH('SwapDesk — Assumptions · Placeh'!B5),1)="","",DATE(2028,3,1)&gt;=DATE(YEAR('SwapDesk — Assumptions · Placeh'!B5),MONTH('SwapDesk — Assumptions · Placeh'!B5),1)))),'SwapDesk — Assumptions · Placeh'!C5/12,0)</f>
        <v>2000</v>
      </c>
      <c r="U6" s="9">
        <f>IF(IF(IF(ISERROR(DATE(2028,4,1)&gt;=DATE(YEAR('SwapDesk — Assumptions · Placeh'!B5),MONTH('SwapDesk — Assumptions · Placeh'!B5),1)),DATE(2028,4,1)&gt;=DATE(YEAR('SwapDesk — Assumptions · Placeh'!B5),MONTH('SwapDesk — Assumptions · Placeh'!B5),1),IF(DATE(YEAR('SwapDesk — Assumptions · Placeh'!B5),MONTH('SwapDesk — Assumptions · Placeh'!B5),1)="","",DATE(2028,4,1)&gt;=DATE(YEAR('SwapDesk — Assumptions · Placeh'!B5),MONTH('SwapDesk — Assumptions · Placeh'!B5),1)))="",FALSE,IF(ISERROR(DATE(2028,4,1)&gt;=DATE(YEAR('SwapDesk — Assumptions · Placeh'!B5),MONTH('SwapDesk — Assumptions · Placeh'!B5),1)),DATE(2028,4,1)&gt;=DATE(YEAR('SwapDesk — Assumptions · Placeh'!B5),MONTH('SwapDesk — Assumptions · Placeh'!B5),1),IF(DATE(YEAR('SwapDesk — Assumptions · Placeh'!B5),MONTH('SwapDesk — Assumptions · Placeh'!B5),1)="","",DATE(2028,4,1)&gt;=DATE(YEAR('SwapDesk — Assumptions · Placeh'!B5),MONTH('SwapDesk — Assumptions · Placeh'!B5),1)))),'SwapDesk — Assumptions · Placeh'!C5/12,0)</f>
        <v>2000</v>
      </c>
      <c r="V6" s="9">
        <f>IF(IF(IF(ISERROR(DATE(2028,5,1)&gt;=DATE(YEAR('SwapDesk — Assumptions · Placeh'!B5),MONTH('SwapDesk — Assumptions · Placeh'!B5),1)),DATE(2028,5,1)&gt;=DATE(YEAR('SwapDesk — Assumptions · Placeh'!B5),MONTH('SwapDesk — Assumptions · Placeh'!B5),1),IF(DATE(YEAR('SwapDesk — Assumptions · Placeh'!B5),MONTH('SwapDesk — Assumptions · Placeh'!B5),1)="","",DATE(2028,5,1)&gt;=DATE(YEAR('SwapDesk — Assumptions · Placeh'!B5),MONTH('SwapDesk — Assumptions · Placeh'!B5),1)))="",FALSE,IF(ISERROR(DATE(2028,5,1)&gt;=DATE(YEAR('SwapDesk — Assumptions · Placeh'!B5),MONTH('SwapDesk — Assumptions · Placeh'!B5),1)),DATE(2028,5,1)&gt;=DATE(YEAR('SwapDesk — Assumptions · Placeh'!B5),MONTH('SwapDesk — Assumptions · Placeh'!B5),1),IF(DATE(YEAR('SwapDesk — Assumptions · Placeh'!B5),MONTH('SwapDesk — Assumptions · Placeh'!B5),1)="","",DATE(2028,5,1)&gt;=DATE(YEAR('SwapDesk — Assumptions · Placeh'!B5),MONTH('SwapDesk — Assumptions · Placeh'!B5),1)))),'SwapDesk — Assumptions · Placeh'!C5/12,0)</f>
        <v>2000</v>
      </c>
      <c r="W6" s="9">
        <f>IF(IF(IF(ISERROR(DATE(2028,6,1)&gt;=DATE(YEAR('SwapDesk — Assumptions · Placeh'!B5),MONTH('SwapDesk — Assumptions · Placeh'!B5),1)),DATE(2028,6,1)&gt;=DATE(YEAR('SwapDesk — Assumptions · Placeh'!B5),MONTH('SwapDesk — Assumptions · Placeh'!B5),1),IF(DATE(YEAR('SwapDesk — Assumptions · Placeh'!B5),MONTH('SwapDesk — Assumptions · Placeh'!B5),1)="","",DATE(2028,6,1)&gt;=DATE(YEAR('SwapDesk — Assumptions · Placeh'!B5),MONTH('SwapDesk — Assumptions · Placeh'!B5),1)))="",FALSE,IF(ISERROR(DATE(2028,6,1)&gt;=DATE(YEAR('SwapDesk — Assumptions · Placeh'!B5),MONTH('SwapDesk — Assumptions · Placeh'!B5),1)),DATE(2028,6,1)&gt;=DATE(YEAR('SwapDesk — Assumptions · Placeh'!B5),MONTH('SwapDesk — Assumptions · Placeh'!B5),1),IF(DATE(YEAR('SwapDesk — Assumptions · Placeh'!B5),MONTH('SwapDesk — Assumptions · Placeh'!B5),1)="","",DATE(2028,6,1)&gt;=DATE(YEAR('SwapDesk — Assumptions · Placeh'!B5),MONTH('SwapDesk — Assumptions · Placeh'!B5),1)))),'SwapDesk — Assumptions · Placeh'!C5/12,0)</f>
        <v>2000</v>
      </c>
      <c r="X6" s="9">
        <f>IF(IF(IF(ISERROR(DATE(2028,7,1)&gt;=DATE(YEAR('SwapDesk — Assumptions · Placeh'!B5),MONTH('SwapDesk — Assumptions · Placeh'!B5),1)),DATE(2028,7,1)&gt;=DATE(YEAR('SwapDesk — Assumptions · Placeh'!B5),MONTH('SwapDesk — Assumptions · Placeh'!B5),1),IF(DATE(YEAR('SwapDesk — Assumptions · Placeh'!B5),MONTH('SwapDesk — Assumptions · Placeh'!B5),1)="","",DATE(2028,7,1)&gt;=DATE(YEAR('SwapDesk — Assumptions · Placeh'!B5),MONTH('SwapDesk — Assumptions · Placeh'!B5),1)))="",FALSE,IF(ISERROR(DATE(2028,7,1)&gt;=DATE(YEAR('SwapDesk — Assumptions · Placeh'!B5),MONTH('SwapDesk — Assumptions · Placeh'!B5),1)),DATE(2028,7,1)&gt;=DATE(YEAR('SwapDesk — Assumptions · Placeh'!B5),MONTH('SwapDesk — Assumptions · Placeh'!B5),1),IF(DATE(YEAR('SwapDesk — Assumptions · Placeh'!B5),MONTH('SwapDesk — Assumptions · Placeh'!B5),1)="","",DATE(2028,7,1)&gt;=DATE(YEAR('SwapDesk — Assumptions · Placeh'!B5),MONTH('SwapDesk — Assumptions · Placeh'!B5),1)))),'SwapDesk — Assumptions · Placeh'!C5/12,0)</f>
        <v>2000</v>
      </c>
      <c r="Y6" s="9">
        <f>IF(IF(IF(ISERROR(DATE(2028,8,1)&gt;=DATE(YEAR('SwapDesk — Assumptions · Placeh'!B5),MONTH('SwapDesk — Assumptions · Placeh'!B5),1)),DATE(2028,8,1)&gt;=DATE(YEAR('SwapDesk — Assumptions · Placeh'!B5),MONTH('SwapDesk — Assumptions · Placeh'!B5),1),IF(DATE(YEAR('SwapDesk — Assumptions · Placeh'!B5),MONTH('SwapDesk — Assumptions · Placeh'!B5),1)="","",DATE(2028,8,1)&gt;=DATE(YEAR('SwapDesk — Assumptions · Placeh'!B5),MONTH('SwapDesk — Assumptions · Placeh'!B5),1)))="",FALSE,IF(ISERROR(DATE(2028,8,1)&gt;=DATE(YEAR('SwapDesk — Assumptions · Placeh'!B5),MONTH('SwapDesk — Assumptions · Placeh'!B5),1)),DATE(2028,8,1)&gt;=DATE(YEAR('SwapDesk — Assumptions · Placeh'!B5),MONTH('SwapDesk — Assumptions · Placeh'!B5),1),IF(DATE(YEAR('SwapDesk — Assumptions · Placeh'!B5),MONTH('SwapDesk — Assumptions · Placeh'!B5),1)="","",DATE(2028,8,1)&gt;=DATE(YEAR('SwapDesk — Assumptions · Placeh'!B5),MONTH('SwapDesk — Assumptions · Placeh'!B5),1)))),'SwapDesk — Assumptions · Placeh'!C5/12,0)</f>
        <v>2000</v>
      </c>
      <c r="Z6" s="9">
        <f>IF(IF(IF(ISERROR(DATE(2028,9,1)&gt;=DATE(YEAR('SwapDesk — Assumptions · Placeh'!B5),MONTH('SwapDesk — Assumptions · Placeh'!B5),1)),DATE(2028,9,1)&gt;=DATE(YEAR('SwapDesk — Assumptions · Placeh'!B5),MONTH('SwapDesk — Assumptions · Placeh'!B5),1),IF(DATE(YEAR('SwapDesk — Assumptions · Placeh'!B5),MONTH('SwapDesk — Assumptions · Placeh'!B5),1)="","",DATE(2028,9,1)&gt;=DATE(YEAR('SwapDesk — Assumptions · Placeh'!B5),MONTH('SwapDesk — Assumptions · Placeh'!B5),1)))="",FALSE,IF(ISERROR(DATE(2028,9,1)&gt;=DATE(YEAR('SwapDesk — Assumptions · Placeh'!B5),MONTH('SwapDesk — Assumptions · Placeh'!B5),1)),DATE(2028,9,1)&gt;=DATE(YEAR('SwapDesk — Assumptions · Placeh'!B5),MONTH('SwapDesk — Assumptions · Placeh'!B5),1),IF(DATE(YEAR('SwapDesk — Assumptions · Placeh'!B5),MONTH('SwapDesk — Assumptions · Placeh'!B5),1)="","",DATE(2028,9,1)&gt;=DATE(YEAR('SwapDesk — Assumptions · Placeh'!B5),MONTH('SwapDesk — Assumptions · Placeh'!B5),1)))),'SwapDesk — Assumptions · Placeh'!C5/12,0)</f>
        <v>2000</v>
      </c>
    </row>
  </sheetData>
  <mergeCells count="1">
    <mergeCell ref="A1:Z1"/>
  </mergeCells>
</worksheet>
</file>

<file path=xl/worksheets/sheet8.xml><?xml version="1.0" encoding="utf-8"?>
<worksheet xmlns="http://schemas.openxmlformats.org/spreadsheetml/2006/main">
  <dimension ref="A1:Y2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SwapDesk — Financials · Profit and cash forecast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5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  <c r="Q4" t="inlineStr" s="15">
        <is>
          <t xml:space="preserve">2028-01</t>
        </is>
      </c>
      <c r="R4" t="inlineStr" s="4">
        <is>
          <t xml:space="preserve">2028-02</t>
        </is>
      </c>
      <c r="S4" t="inlineStr" s="4">
        <is>
          <t xml:space="preserve">2028-03</t>
        </is>
      </c>
      <c r="T4" t="inlineStr" s="15">
        <is>
          <t xml:space="preserve">2028-04</t>
        </is>
      </c>
      <c r="U4" t="inlineStr" s="4">
        <is>
          <t xml:space="preserve">2028-05</t>
        </is>
      </c>
      <c r="V4" t="inlineStr" s="4">
        <is>
          <t xml:space="preserve">2028-06</t>
        </is>
      </c>
      <c r="W4" t="inlineStr" s="15">
        <is>
          <t xml:space="preserve">2028-07</t>
        </is>
      </c>
      <c r="X4" t="inlineStr" s="4">
        <is>
          <t xml:space="preserve">2028-08</t>
        </is>
      </c>
      <c r="Y4" t="inlineStr" s="4">
        <is>
          <t xml:space="preserve">2028-09</t>
        </is>
      </c>
    </row>
    <row r="5">
      <c r="A5" t="inlineStr" s="5">
        <is>
          <t xml:space="preserve">Revenue</t>
        </is>
      </c>
      <c r="B5" s="6">
        <f>SUM('SwapDesk — Operations · Merchan'!C39,'SwapDesk — Operations · Merchan'!C40)</f>
        <v>603.99</v>
      </c>
      <c r="C5" s="6">
        <f>SUM('SwapDesk — Operations · Merchan'!D39,'SwapDesk — Operations · Merchan'!D40)</f>
        <v>702.5437</v>
      </c>
      <c r="D5" s="6">
        <f>SUM('SwapDesk — Operations · Merchan'!E39,'SwapDesk — Operations · Merchan'!E40)</f>
        <v>798.722321</v>
      </c>
      <c r="E5" s="6">
        <f>SUM('SwapDesk — Operations · Merchan'!F39,'SwapDesk — Operations · Merchan'!F40)</f>
        <v>892.58548473</v>
      </c>
      <c r="F5" s="6">
        <f>SUM('SwapDesk — Operations · Merchan'!G39,'SwapDesk — Operations · Merchan'!G40)</f>
        <v>984.1912568808999</v>
      </c>
      <c r="G5" s="6">
        <f>SUM('SwapDesk — Operations · Merchan'!H39,'SwapDesk — Operations · Merchan'!H40)</f>
        <v>1073.5961891334168</v>
      </c>
      <c r="H5" s="6">
        <f>SUM('SwapDesk — Operations · Merchan'!I39,'SwapDesk — Operations · Merchan'!I40)</f>
        <v>1160.8553600191794</v>
      </c>
      <c r="I5" s="6">
        <f>SUM('SwapDesk — Operations · Merchan'!J39,'SwapDesk — Operations · Merchan'!J40)</f>
        <v>1246.022414647174</v>
      </c>
      <c r="J5" s="6">
        <f>SUM('SwapDesk — Operations · Merchan'!K39,'SwapDesk — Operations · Merchan'!K40)</f>
        <v>1329.1496033277572</v>
      </c>
      <c r="K5" s="6">
        <f>SUM('SwapDesk — Operations · Merchan'!L39,'SwapDesk — Operations · Merchan'!L40)</f>
        <v>1410.2878191255231</v>
      </c>
      <c r="L5" s="6">
        <f>SUM('SwapDesk — Operations · Merchan'!M39,'SwapDesk — Operations · Merchan'!M40)</f>
        <v>1489.4866343714039</v>
      </c>
      <c r="M5" s="6">
        <f>SUM('SwapDesk — Operations · Merchan'!N39,'SwapDesk — Operations · Merchan'!N40)</f>
        <v>1566.7943361635153</v>
      </c>
      <c r="N5" s="6">
        <f>SUM('SwapDesk — Operations · Merchan'!O39,'SwapDesk — Operations · Merchan'!O40)</f>
        <v>1642.2579608853985</v>
      </c>
      <c r="O5" s="6">
        <f>SUM('SwapDesk — Operations · Merchan'!P39,'SwapDesk — Operations · Merchan'!P40)</f>
        <v>1715.9233277694893</v>
      </c>
      <c r="P5" s="6">
        <f>SUM('SwapDesk — Operations · Merchan'!Q39,'SwapDesk — Operations · Merchan'!Q40)</f>
        <v>1787.835071532844</v>
      </c>
      <c r="Q5" s="6">
        <f>SUM('SwapDesk — Operations · Merchan'!R39,'SwapDesk — Operations · Merchan'!R40)</f>
        <v>1858.0366741113694</v>
      </c>
      <c r="R5" s="6">
        <f>SUM('SwapDesk — Operations · Merchan'!S39,'SwapDesk — Operations · Merchan'!S40)</f>
        <v>1926.570495518049</v>
      </c>
      <c r="S5" s="6">
        <f>SUM('SwapDesk — Operations · Merchan'!T39,'SwapDesk — Operations · Merchan'!T40)</f>
        <v>1993.477803849928</v>
      </c>
      <c r="T5" s="6">
        <f>SUM('SwapDesk — Operations · Merchan'!U39,'SwapDesk — Operations · Merchan'!U40)</f>
        <v>2058.7988044679023</v>
      </c>
      <c r="U5" s="6">
        <f>SUM('SwapDesk — Operations · Merchan'!V39,'SwapDesk — Operations · Merchan'!V40)</f>
        <v>2122.5726683726675</v>
      </c>
      <c r="V5" s="6">
        <f>SUM('SwapDesk — Operations · Merchan'!W39,'SwapDesk — Operations · Merchan'!W40)</f>
        <v>2184.8375597995137</v>
      </c>
      <c r="W5" s="6">
        <f>SUM('SwapDesk — Operations · Merchan'!X39,'SwapDesk — Operations · Merchan'!X40)</f>
        <v>2245.6306630539943</v>
      </c>
      <c r="X5" s="6">
        <f>SUM('SwapDesk — Operations · Merchan'!Y39,'SwapDesk — Operations · Merchan'!Y40)</f>
        <v>2304.988208609871</v>
      </c>
      <c r="Y5" s="6">
        <f>SUM('SwapDesk — Operations · Merchan'!Z39,'SwapDesk — Operations · Merchan'!Z40)</f>
        <v>2362.9454984901213</v>
      </c>
    </row>
    <row r="6">
      <c r="A6" t="inlineStr" s="7">
        <is>
          <t xml:space="preserve">Inference cost</t>
        </is>
      </c>
      <c r="B6" s="9">
        <f>SUM('SwapDesk — Operations · Merchan'!C42,'SwapDesk — Operations · Merchan'!C43)</f>
        <v>58.16699999999999</v>
      </c>
      <c r="C6" s="9">
        <f>SUM('SwapDesk — Operations · Merchan'!D42,'SwapDesk — Operations · Merchan'!D43)</f>
        <v>67.80147</v>
      </c>
      <c r="D6" s="9">
        <f>SUM('SwapDesk — Operations · Merchan'!E42,'SwapDesk — Operations · Merchan'!E43)</f>
        <v>77.2091163</v>
      </c>
      <c r="E6" s="9">
        <f>SUM('SwapDesk — Operations · Merchan'!F42,'SwapDesk — Operations · Merchan'!F43)</f>
        <v>86.395499403</v>
      </c>
      <c r="F6" s="9">
        <f>SUM('SwapDesk — Operations · Merchan'!G42,'SwapDesk — Operations · Merchan'!G43)</f>
        <v>95.36603788106999</v>
      </c>
      <c r="G6" s="9">
        <f>SUM('SwapDesk — Operations · Merchan'!H42,'SwapDesk — Operations · Merchan'!H43)</f>
        <v>104.12601213559469</v>
      </c>
      <c r="H6" s="9">
        <f>SUM('SwapDesk — Operations · Merchan'!I42,'SwapDesk — Operations · Merchan'!I43)</f>
        <v>112.68056805466452</v>
      </c>
      <c r="I6" s="9">
        <f>SUM('SwapDesk — Operations · Merchan'!J42,'SwapDesk — Operations · Merchan'!J43)</f>
        <v>121.03472057049949</v>
      </c>
      <c r="J6" s="9">
        <f>SUM('SwapDesk — Operations · Merchan'!K42,'SwapDesk — Operations · Merchan'!K43)</f>
        <v>129.1933571197099</v>
      </c>
      <c r="K6" s="9">
        <f>SUM('SwapDesk — Operations · Merchan'!L42,'SwapDesk — Operations · Merchan'!L43)</f>
        <v>137.16124100911753</v>
      </c>
      <c r="L6" s="9">
        <f>SUM('SwapDesk — Operations · Merchan'!M42,'SwapDesk — Operations · Merchan'!M43)</f>
        <v>144.94301468978296</v>
      </c>
      <c r="M6" s="9">
        <f>SUM('SwapDesk — Operations · Merchan'!N42,'SwapDesk — Operations · Merchan'!N43)</f>
        <v>152.5432029418096</v>
      </c>
      <c r="N6" s="9">
        <f>SUM('SwapDesk — Operations · Merchan'!O42,'SwapDesk — Operations · Merchan'!O43)</f>
        <v>159.96621597242105</v>
      </c>
      <c r="O6" s="9">
        <f>SUM('SwapDesk — Operations · Merchan'!P42,'SwapDesk — Operations · Merchan'!P43)</f>
        <v>167.21635242973684</v>
      </c>
      <c r="P6" s="9">
        <f>SUM('SwapDesk — Operations · Merchan'!Q42,'SwapDesk — Operations · Merchan'!Q43)</f>
        <v>174.2978023346034</v>
      </c>
      <c r="Q6" s="9">
        <f>SUM('SwapDesk — Operations · Merchan'!R42,'SwapDesk — Operations · Merchan'!R43)</f>
        <v>181.21464993276876</v>
      </c>
      <c r="R6" s="9">
        <f>SUM('SwapDesk — Operations · Merchan'!S42,'SwapDesk — Operations · Merchan'!S43)</f>
        <v>187.97087646962513</v>
      </c>
      <c r="S6" s="9">
        <f>SUM('SwapDesk — Operations · Merchan'!T42,'SwapDesk — Operations · Merchan'!T43)</f>
        <v>194.57036288967902</v>
      </c>
      <c r="T6" s="9">
        <f>SUM('SwapDesk — Operations · Merchan'!U42,'SwapDesk — Operations · Merchan'!U43)</f>
        <v>201.01689246284843</v>
      </c>
      <c r="U6" s="9">
        <f>SUM('SwapDesk — Operations · Merchan'!V42,'SwapDesk — Operations · Merchan'!V43)</f>
        <v>207.3141533396256</v>
      </c>
      <c r="V6" s="9">
        <f>SUM('SwapDesk — Operations · Merchan'!W42,'SwapDesk — Operations · Merchan'!W43)</f>
        <v>213.46574103708613</v>
      </c>
      <c r="W6" s="9">
        <f>SUM('SwapDesk — Operations · Merchan'!X42,'SwapDesk — Operations · Merchan'!X43)</f>
        <v>219.47516085766986</v>
      </c>
      <c r="X6" s="9">
        <f>SUM('SwapDesk — Operations · Merchan'!Y42,'SwapDesk — Operations · Merchan'!Y43)</f>
        <v>225.34583024260218</v>
      </c>
      <c r="Y6" s="9">
        <f>SUM('SwapDesk — Operations · Merchan'!Z42,'SwapDesk — Operations · Merchan'!Z43)</f>
        <v>231.08108106177332</v>
      </c>
    </row>
    <row r="7">
      <c r="A7" t="inlineStr" s="7">
        <is>
          <t xml:space="preserve">Infrastructure variable cost</t>
        </is>
      </c>
      <c r="B7" s="9">
        <f>SUM('SwapDesk — Operations · Merchan'!C45,'SwapDesk — Operations · Merchan'!C46)</f>
        <v>8.309999999999999</v>
      </c>
      <c r="C7" s="9">
        <f>SUM('SwapDesk — Operations · Merchan'!D45,'SwapDesk — Operations · Merchan'!D46)</f>
        <v>9.5853</v>
      </c>
      <c r="D7" s="9">
        <f>SUM('SwapDesk — Operations · Merchan'!E45,'SwapDesk — Operations · Merchan'!E46)</f>
        <v>10.826849</v>
      </c>
      <c r="E7" s="9">
        <f>SUM('SwapDesk — Operations · Merchan'!F45,'SwapDesk — Operations · Merchan'!F46)</f>
        <v>12.03556937</v>
      </c>
      <c r="F7" s="9">
        <f>SUM('SwapDesk — Operations · Merchan'!G45,'SwapDesk — Operations · Merchan'!G46)</f>
        <v>13.2123576121</v>
      </c>
      <c r="G7" s="9">
        <f>SUM('SwapDesk — Operations · Merchan'!H45,'SwapDesk — Operations · Merchan'!H46)</f>
        <v>14.358085100472998</v>
      </c>
      <c r="H7" s="9">
        <f>SUM('SwapDesk — Operations · Merchan'!I45,'SwapDesk — Operations · Merchan'!I46)</f>
        <v>15.473598799860088</v>
      </c>
      <c r="I7" s="9">
        <f>SUM('SwapDesk — Operations · Merchan'!J45,'SwapDesk — Operations · Merchan'!J46)</f>
        <v>16.55972196321754</v>
      </c>
      <c r="J7" s="9">
        <f>SUM('SwapDesk — Operations · Merchan'!K45,'SwapDesk — Operations · Merchan'!K46)</f>
        <v>17.617254809127203</v>
      </c>
      <c r="K7" s="9">
        <f>SUM('SwapDesk — Operations · Merchan'!L45,'SwapDesk — Operations · Merchan'!L46)</f>
        <v>18.646975179563455</v>
      </c>
      <c r="L7" s="9">
        <f>SUM('SwapDesk — Operations · Merchan'!M45,'SwapDesk — Operations · Merchan'!M46)</f>
        <v>19.649639178592416</v>
      </c>
      <c r="M7" s="9">
        <f>SUM('SwapDesk — Operations · Merchan'!N45,'SwapDesk — Operations · Merchan'!N46)</f>
        <v>20.62598179256219</v>
      </c>
      <c r="N7" s="9">
        <f>SUM('SwapDesk — Operations · Merchan'!O45,'SwapDesk — Operations · Merchan'!O46)</f>
        <v>21.57671749232632</v>
      </c>
      <c r="O7" s="9">
        <f>SUM('SwapDesk — Operations · Merchan'!P45,'SwapDesk — Operations · Merchan'!P46)</f>
        <v>22.50254081802671</v>
      </c>
      <c r="P7" s="9">
        <f>SUM('SwapDesk — Operations · Merchan'!Q45,'SwapDesk — Operations · Merchan'!Q46)</f>
        <v>23.40412694694668</v>
      </c>
      <c r="Q7" s="9">
        <f>SUM('SwapDesk — Operations · Merchan'!R45,'SwapDesk — Operations · Merchan'!R46)</f>
        <v>24.282132244929834</v>
      </c>
      <c r="R7" s="9">
        <f>SUM('SwapDesk — Operations · Merchan'!S45,'SwapDesk — Operations · Merchan'!S46)</f>
        <v>25.137194801845666</v>
      </c>
      <c r="S7" s="9">
        <f>SUM('SwapDesk — Operations · Merchan'!T45,'SwapDesk — Operations · Merchan'!T46)</f>
        <v>25.96993495156875</v>
      </c>
      <c r="T7" s="9">
        <f>SUM('SwapDesk — Operations · Merchan'!U45,'SwapDesk — Operations · Merchan'!U46)</f>
        <v>26.78095577692457</v>
      </c>
      <c r="U7" s="9">
        <f>SUM('SwapDesk — Operations · Merchan'!V45,'SwapDesk — Operations · Merchan'!V46)</f>
        <v>27.570843600041655</v>
      </c>
      <c r="V7" s="9">
        <f>SUM('SwapDesk — Operations · Merchan'!W45,'SwapDesk — Operations · Merchan'!W46)</f>
        <v>28.340168458536738</v>
      </c>
      <c r="W7" s="9">
        <f>SUM('SwapDesk — Operations · Merchan'!X45,'SwapDesk — Operations · Merchan'!X46)</f>
        <v>29.089484567947036</v>
      </c>
      <c r="X7" s="9">
        <f>SUM('SwapDesk — Operations · Merchan'!Y45,'SwapDesk — Operations · Merchan'!Y46)</f>
        <v>29.8193307708117</v>
      </c>
      <c r="Y7" s="9">
        <f>SUM('SwapDesk — Operations · Merchan'!Z45,'SwapDesk — Operations · Merchan'!Z46)</f>
        <v>30.53023097279236</v>
      </c>
    </row>
    <row r="8">
      <c r="A8" t="inlineStr" s="7">
        <is>
          <t xml:space="preserve">Merchant support cost</t>
        </is>
      </c>
      <c r="B8" s="9">
        <f>SUM('SwapDesk — Operations · Merchan'!C48,'SwapDesk — Operations · Merchan'!C49)</f>
        <v>67.3125</v>
      </c>
      <c r="C8" s="9">
        <f>SUM('SwapDesk — Operations · Merchan'!D48,'SwapDesk — Operations · Merchan'!D49)</f>
        <v>78.10062500000001</v>
      </c>
      <c r="D8" s="9">
        <f>SUM('SwapDesk — Operations · Merchan'!E48,'SwapDesk — Operations · Merchan'!E49)</f>
        <v>88.62145625000001</v>
      </c>
      <c r="E8" s="9">
        <f>SUM('SwapDesk — Operations · Merchan'!F48,'SwapDesk — Operations · Merchan'!F49)</f>
        <v>98.8818855625</v>
      </c>
      <c r="F8" s="9">
        <f>SUM('SwapDesk — Operations · Merchan'!G48,'SwapDesk — Operations · Merchan'!G49)</f>
        <v>108.888620535625</v>
      </c>
      <c r="G8" s="9">
        <f>SUM('SwapDesk — Operations · Merchan'!H48,'SwapDesk — Operations · Merchan'!H49)</f>
        <v>118.64818962875623</v>
      </c>
      <c r="H8" s="9">
        <f>SUM('SwapDesk — Operations · Merchan'!I48,'SwapDesk — Operations · Merchan'!I49)</f>
        <v>128.16694709490955</v>
      </c>
      <c r="I8" s="9">
        <f>SUM('SwapDesk — Operations · Merchan'!J48,'SwapDesk — Operations · Merchan'!J49)</f>
        <v>137.45107777397794</v>
      </c>
      <c r="J8" s="9">
        <f>SUM('SwapDesk — Operations · Merchan'!K48,'SwapDesk — Operations · Merchan'!K49)</f>
        <v>146.50660175083598</v>
      </c>
      <c r="K8" s="9">
        <f>SUM('SwapDesk — Operations · Merchan'!L48,'SwapDesk — Operations · Merchan'!L49)</f>
        <v>155.33937888218674</v>
      </c>
      <c r="L8" s="9">
        <f>SUM('SwapDesk — Operations · Merchan'!M48,'SwapDesk — Operations · Merchan'!M49)</f>
        <v>163.95511319591944</v>
      </c>
      <c r="M8" s="9">
        <f>SUM('SwapDesk — Operations · Merchan'!N48,'SwapDesk — Operations · Merchan'!N49)</f>
        <v>172.3593571666362</v>
      </c>
      <c r="N8" s="9">
        <f>SUM('SwapDesk — Operations · Merchan'!O48,'SwapDesk — Operations · Merchan'!O49)</f>
        <v>180.55751587089955</v>
      </c>
      <c r="O8" s="9">
        <f>SUM('SwapDesk — Operations · Merchan'!P48,'SwapDesk — Operations · Merchan'!P49)</f>
        <v>188.55485102564978</v>
      </c>
      <c r="P8" s="9">
        <f>SUM('SwapDesk — Operations · Merchan'!Q48,'SwapDesk — Operations · Merchan'!Q49)</f>
        <v>196.35648491313992</v>
      </c>
      <c r="Q8" s="9">
        <f>SUM('SwapDesk — Operations · Merchan'!R48,'SwapDesk — Operations · Merchan'!R49)</f>
        <v>203.9674041956402</v>
      </c>
      <c r="R8" s="9">
        <f>SUM('SwapDesk — Operations · Merchan'!S48,'SwapDesk — Operations · Merchan'!S49)</f>
        <v>211.39246362306756</v>
      </c>
      <c r="S8" s="9">
        <f>SUM('SwapDesk — Operations · Merchan'!T48,'SwapDesk — Operations · Merchan'!T49)</f>
        <v>218.6363896366062</v>
      </c>
      <c r="T8" s="9">
        <f>SUM('SwapDesk — Operations · Merchan'!U48,'SwapDesk — Operations · Merchan'!U49)</f>
        <v>225.70378387129404</v>
      </c>
      <c r="U8" s="9">
        <f>SUM('SwapDesk — Operations · Merchan'!V48,'SwapDesk — Operations · Merchan'!V49)</f>
        <v>232.59912656046555</v>
      </c>
      <c r="V8" s="9">
        <f>SUM('SwapDesk — Operations · Merchan'!W48,'SwapDesk — Operations · Merchan'!W49)</f>
        <v>239.32677984485565</v>
      </c>
      <c r="W8" s="9">
        <f>SUM('SwapDesk — Operations · Merchan'!X48,'SwapDesk — Operations · Merchan'!X49)</f>
        <v>245.89099098909</v>
      </c>
      <c r="X8" s="9">
        <f>SUM('SwapDesk — Operations · Merchan'!Y48,'SwapDesk — Operations · Merchan'!Y49)</f>
        <v>252.29589550820572</v>
      </c>
      <c r="Y8" s="9">
        <f>SUM('SwapDesk — Operations · Merchan'!Z48,'SwapDesk — Operations · Merchan'!Z49)</f>
        <v>258.5455202067722</v>
      </c>
    </row>
    <row r="9">
      <c r="A9" t="inlineStr" s="7">
        <is>
          <t xml:space="preserve">Fixed hosting</t>
        </is>
      </c>
      <c r="B9" s="9">
        <f>IF('SwapDesk — Assumptions · Commer'!B12="","",'SwapDesk — Assumptions · Commer'!B12)</f>
        <v>75</v>
      </c>
      <c r="C9" s="9">
        <f>IF('SwapDesk — Assumptions · Commer'!B12="","",'SwapDesk — Assumptions · Commer'!B12)</f>
        <v>75</v>
      </c>
      <c r="D9" s="9">
        <f>IF('SwapDesk — Assumptions · Commer'!B12="","",'SwapDesk — Assumptions · Commer'!B12)</f>
        <v>75</v>
      </c>
      <c r="E9" s="9">
        <f>IF('SwapDesk — Assumptions · Commer'!B12="","",'SwapDesk — Assumptions · Commer'!B12)</f>
        <v>75</v>
      </c>
      <c r="F9" s="9">
        <f>IF('SwapDesk — Assumptions · Commer'!B12="","",'SwapDesk — Assumptions · Commer'!B12)</f>
        <v>75</v>
      </c>
      <c r="G9" s="9">
        <f>IF('SwapDesk — Assumptions · Commer'!B12="","",'SwapDesk — Assumptions · Commer'!B12)</f>
        <v>75</v>
      </c>
      <c r="H9" s="9">
        <f>IF('SwapDesk — Assumptions · Commer'!B12="","",'SwapDesk — Assumptions · Commer'!B12)</f>
        <v>75</v>
      </c>
      <c r="I9" s="9">
        <f>IF('SwapDesk — Assumptions · Commer'!B12="","",'SwapDesk — Assumptions · Commer'!B12)</f>
        <v>75</v>
      </c>
      <c r="J9" s="9">
        <f>IF('SwapDesk — Assumptions · Commer'!B12="","",'SwapDesk — Assumptions · Commer'!B12)</f>
        <v>75</v>
      </c>
      <c r="K9" s="9">
        <f>IF('SwapDesk — Assumptions · Commer'!B12="","",'SwapDesk — Assumptions · Commer'!B12)</f>
        <v>75</v>
      </c>
      <c r="L9" s="9">
        <f>IF('SwapDesk — Assumptions · Commer'!B12="","",'SwapDesk — Assumptions · Commer'!B12)</f>
        <v>75</v>
      </c>
      <c r="M9" s="9">
        <f>IF('SwapDesk — Assumptions · Commer'!B12="","",'SwapDesk — Assumptions · Commer'!B12)</f>
        <v>75</v>
      </c>
      <c r="N9" s="9">
        <f>IF('SwapDesk — Assumptions · Commer'!B12="","",'SwapDesk — Assumptions · Commer'!B12)</f>
        <v>75</v>
      </c>
      <c r="O9" s="9">
        <f>IF('SwapDesk — Assumptions · Commer'!B12="","",'SwapDesk — Assumptions · Commer'!B12)</f>
        <v>75</v>
      </c>
      <c r="P9" s="9">
        <f>IF('SwapDesk — Assumptions · Commer'!B12="","",'SwapDesk — Assumptions · Commer'!B12)</f>
        <v>75</v>
      </c>
      <c r="Q9" s="9">
        <f>IF('SwapDesk — Assumptions · Commer'!B12="","",'SwapDesk — Assumptions · Commer'!B12)</f>
        <v>75</v>
      </c>
      <c r="R9" s="9">
        <f>IF('SwapDesk — Assumptions · Commer'!B12="","",'SwapDesk — Assumptions · Commer'!B12)</f>
        <v>75</v>
      </c>
      <c r="S9" s="9">
        <f>IF('SwapDesk — Assumptions · Commer'!B12="","",'SwapDesk — Assumptions · Commer'!B12)</f>
        <v>75</v>
      </c>
      <c r="T9" s="9">
        <f>IF('SwapDesk — Assumptions · Commer'!B12="","",'SwapDesk — Assumptions · Commer'!B12)</f>
        <v>75</v>
      </c>
      <c r="U9" s="9">
        <f>IF('SwapDesk — Assumptions · Commer'!B12="","",'SwapDesk — Assumptions · Commer'!B12)</f>
        <v>75</v>
      </c>
      <c r="V9" s="9">
        <f>IF('SwapDesk — Assumptions · Commer'!B12="","",'SwapDesk — Assumptions · Commer'!B12)</f>
        <v>75</v>
      </c>
      <c r="W9" s="9">
        <f>IF('SwapDesk — Assumptions · Commer'!B12="","",'SwapDesk — Assumptions · Commer'!B12)</f>
        <v>75</v>
      </c>
      <c r="X9" s="9">
        <f>IF('SwapDesk — Assumptions · Commer'!B12="","",'SwapDesk — Assumptions · Commer'!B12)</f>
        <v>75</v>
      </c>
      <c r="Y9" s="9">
        <f>IF('SwapDesk — Assumptions · Commer'!B12="","",'SwapDesk — Assumptions · Commer'!B12)</f>
        <v>75</v>
      </c>
    </row>
    <row r="10">
      <c r="A10" t="inlineStr" s="7">
        <is>
          <t xml:space="preserve">Cost of service</t>
        </is>
      </c>
      <c r="B10" s="9">
        <f>'SwapDesk — Financials · Profit'!B6+'SwapDesk — Financials · Profit'!B7+'SwapDesk — Financials · Profit'!B8+'SwapDesk — Financials · Profit'!B9</f>
        <v>208.78949999999998</v>
      </c>
      <c r="C10" s="9">
        <f>'SwapDesk — Financials · Profit'!C6+'SwapDesk — Financials · Profit'!C7+'SwapDesk — Financials · Profit'!C8+'SwapDesk — Financials · Profit'!C9</f>
        <v>230.487395</v>
      </c>
      <c r="D10" s="9">
        <f>'SwapDesk — Financials · Profit'!D6+'SwapDesk — Financials · Profit'!D7+'SwapDesk — Financials · Profit'!D8+'SwapDesk — Financials · Profit'!D9</f>
        <v>251.65742154999998</v>
      </c>
      <c r="E10" s="9">
        <f>'SwapDesk — Financials · Profit'!E6+'SwapDesk — Financials · Profit'!E7+'SwapDesk — Financials · Profit'!E8+'SwapDesk — Financials · Profit'!E9</f>
        <v>272.3129543355</v>
      </c>
      <c r="F10" s="9">
        <f>'SwapDesk — Financials · Profit'!F6+'SwapDesk — Financials · Profit'!F7+'SwapDesk — Financials · Profit'!F8+'SwapDesk — Financials · Profit'!F9</f>
        <v>292.467016028795</v>
      </c>
      <c r="G10" s="9">
        <f>'SwapDesk — Financials · Profit'!G6+'SwapDesk — Financials · Profit'!G7+'SwapDesk — Financials · Profit'!G8+'SwapDesk — Financials · Profit'!G9</f>
        <v>312.1322868648239</v>
      </c>
      <c r="H10" s="9">
        <f>'SwapDesk — Financials · Profit'!H6+'SwapDesk — Financials · Profit'!H7+'SwapDesk — Financials · Profit'!H8+'SwapDesk — Financials · Profit'!H9</f>
        <v>331.32111394943416</v>
      </c>
      <c r="I10" s="9">
        <f>'SwapDesk — Financials · Profit'!I6+'SwapDesk — Financials · Profit'!I7+'SwapDesk — Financials · Profit'!I8+'SwapDesk — Financials · Profit'!I9</f>
        <v>350.04552030769497</v>
      </c>
      <c r="J10" s="9">
        <f>'SwapDesk — Financials · Profit'!J6+'SwapDesk — Financials · Profit'!J7+'SwapDesk — Financials · Profit'!J8+'SwapDesk — Financials · Profit'!J9</f>
        <v>368.31721367967305</v>
      </c>
      <c r="K10" s="9">
        <f>'SwapDesk — Financials · Profit'!K6+'SwapDesk — Financials · Profit'!K7+'SwapDesk — Financials · Profit'!K8+'SwapDesk — Financials · Profit'!K9</f>
        <v>386.14759507086774</v>
      </c>
      <c r="L10" s="9">
        <f>'SwapDesk — Financials · Profit'!L6+'SwapDesk — Financials · Profit'!L7+'SwapDesk — Financials · Profit'!L8+'SwapDesk — Financials · Profit'!L9</f>
        <v>403.5477670642948</v>
      </c>
      <c r="M10" s="9">
        <f>'SwapDesk — Financials · Profit'!M6+'SwapDesk — Financials · Profit'!M7+'SwapDesk — Financials · Profit'!M8+'SwapDesk — Financials · Profit'!M9</f>
        <v>420.528541901008</v>
      </c>
      <c r="N10" s="9">
        <f>'SwapDesk — Financials · Profit'!N6+'SwapDesk — Financials · Profit'!N7+'SwapDesk — Financials · Profit'!N8+'SwapDesk — Financials · Profit'!N9</f>
        <v>437.1004493356469</v>
      </c>
      <c r="O10" s="9">
        <f>'SwapDesk — Financials · Profit'!O6+'SwapDesk — Financials · Profit'!O7+'SwapDesk — Financials · Profit'!O8+'SwapDesk — Financials · Profit'!O9</f>
        <v>453.27374427341334</v>
      </c>
      <c r="P10" s="9">
        <f>'SwapDesk — Financials · Profit'!P6+'SwapDesk — Financials · Profit'!P7+'SwapDesk — Financials · Profit'!P8+'SwapDesk — Financials · Profit'!P9</f>
        <v>469.05841419469004</v>
      </c>
      <c r="Q10" s="9">
        <f>'SwapDesk — Financials · Profit'!Q6+'SwapDesk — Financials · Profit'!Q7+'SwapDesk — Financials · Profit'!Q8+'SwapDesk — Financials · Profit'!Q9</f>
        <v>484.4641863733388</v>
      </c>
      <c r="R10" s="9">
        <f>'SwapDesk — Financials · Profit'!R6+'SwapDesk — Financials · Profit'!R7+'SwapDesk — Financials · Profit'!R8+'SwapDesk — Financials · Profit'!R9</f>
        <v>499.50053489453836</v>
      </c>
      <c r="S10" s="9">
        <f>'SwapDesk — Financials · Profit'!S6+'SwapDesk — Financials · Profit'!S7+'SwapDesk — Financials · Profit'!S8+'SwapDesk — Financials · Profit'!S9</f>
        <v>514.1766874778539</v>
      </c>
      <c r="T10" s="9">
        <f>'SwapDesk — Financials · Profit'!T6+'SwapDesk — Financials · Profit'!T7+'SwapDesk — Financials · Profit'!T8+'SwapDesk — Financials · Profit'!T9</f>
        <v>528.501632111067</v>
      </c>
      <c r="U10" s="9">
        <f>'SwapDesk — Financials · Profit'!U6+'SwapDesk — Financials · Profit'!U7+'SwapDesk — Financials · Profit'!U8+'SwapDesk — Financials · Profit'!U9</f>
        <v>542.4841235001328</v>
      </c>
      <c r="V10" s="9">
        <f>'SwapDesk — Financials · Profit'!V6+'SwapDesk — Financials · Profit'!V7+'SwapDesk — Financials · Profit'!V8+'SwapDesk — Financials · Profit'!V9</f>
        <v>556.1326893404785</v>
      </c>
      <c r="W10" s="9">
        <f>'SwapDesk — Financials · Profit'!W6+'SwapDesk — Financials · Profit'!W7+'SwapDesk — Financials · Profit'!W8+'SwapDesk — Financials · Profit'!W9</f>
        <v>569.455636414707</v>
      </c>
      <c r="X10" s="9">
        <f>'SwapDesk — Financials · Profit'!X6+'SwapDesk — Financials · Profit'!X7+'SwapDesk — Financials · Profit'!X8+'SwapDesk — Financials · Profit'!X9</f>
        <v>582.4610565216196</v>
      </c>
      <c r="Y10" s="9">
        <f>'SwapDesk — Financials · Profit'!Y6+'SwapDesk — Financials · Profit'!Y7+'SwapDesk — Financials · Profit'!Y8+'SwapDesk — Financials · Profit'!Y9</f>
        <v>595.156832241338</v>
      </c>
    </row>
    <row r="11">
      <c r="A11" t="inlineStr" s="7">
        <is>
          <t xml:space="preserve">Gross profit</t>
        </is>
      </c>
      <c r="B11" s="9">
        <f>'SwapDesk — Financials · Profit'!B5-'SwapDesk — Financials · Profit'!B10</f>
        <v>395.20050000000003</v>
      </c>
      <c r="C11" s="9">
        <f>'SwapDesk — Financials · Profit'!C5-'SwapDesk — Financials · Profit'!C10</f>
        <v>472.05630499999995</v>
      </c>
      <c r="D11" s="9">
        <f>'SwapDesk — Financials · Profit'!D5-'SwapDesk — Financials · Profit'!D10</f>
        <v>547.06489945</v>
      </c>
      <c r="E11" s="9">
        <f>'SwapDesk — Financials · Profit'!E5-'SwapDesk — Financials · Profit'!E10</f>
        <v>620.2725303944999</v>
      </c>
      <c r="F11" s="9">
        <f>'SwapDesk — Financials · Profit'!F5-'SwapDesk — Financials · Profit'!F10</f>
        <v>691.7242408521049</v>
      </c>
      <c r="G11" s="9">
        <f>'SwapDesk — Financials · Profit'!G5-'SwapDesk — Financials · Profit'!G10</f>
        <v>761.4639022685928</v>
      </c>
      <c r="H11" s="9">
        <f>'SwapDesk — Financials · Profit'!H5-'SwapDesk — Financials · Profit'!H10</f>
        <v>829.5342460697452</v>
      </c>
      <c r="I11" s="9">
        <f>'SwapDesk — Financials · Profit'!I5-'SwapDesk — Financials · Profit'!I10</f>
        <v>895.976894339479</v>
      </c>
      <c r="J11" s="9">
        <f>'SwapDesk — Financials · Profit'!J5-'SwapDesk — Financials · Profit'!J10</f>
        <v>960.8323896480841</v>
      </c>
      <c r="K11" s="9">
        <f>'SwapDesk — Financials · Profit'!K5-'SwapDesk — Financials · Profit'!K10</f>
        <v>1024.1402240546554</v>
      </c>
      <c r="L11" s="9">
        <f>'SwapDesk — Financials · Profit'!L5-'SwapDesk — Financials · Profit'!L10</f>
        <v>1085.938867307109</v>
      </c>
      <c r="M11" s="9">
        <f>'SwapDesk — Financials · Profit'!M5-'SwapDesk — Financials · Profit'!M10</f>
        <v>1146.2657942625074</v>
      </c>
      <c r="N11" s="9">
        <f>'SwapDesk — Financials · Profit'!N5-'SwapDesk — Financials · Profit'!N10</f>
        <v>1205.1575115497517</v>
      </c>
      <c r="O11" s="9">
        <f>'SwapDesk — Financials · Profit'!O5-'SwapDesk — Financials · Profit'!O10</f>
        <v>1262.649583496076</v>
      </c>
      <c r="P11" s="9">
        <f>'SwapDesk — Financials · Profit'!P5-'SwapDesk — Financials · Profit'!P10</f>
        <v>1318.776657338154</v>
      </c>
      <c r="Q11" s="9">
        <f>'SwapDesk — Financials · Profit'!Q5-'SwapDesk — Financials · Profit'!Q10</f>
        <v>1373.5724877380305</v>
      </c>
      <c r="R11" s="9">
        <f>'SwapDesk — Financials · Profit'!R5-'SwapDesk — Financials · Profit'!R10</f>
        <v>1427.0699606235107</v>
      </c>
      <c r="S11" s="9">
        <f>'SwapDesk — Financials · Profit'!S5-'SwapDesk — Financials · Profit'!S10</f>
        <v>1479.3011163720741</v>
      </c>
      <c r="T11" s="9">
        <f>'SwapDesk — Financials · Profit'!T5-'SwapDesk — Financials · Profit'!T10</f>
        <v>1530.2971723568353</v>
      </c>
      <c r="U11" s="9">
        <f>'SwapDesk — Financials · Profit'!U5-'SwapDesk — Financials · Profit'!U10</f>
        <v>1580.0885448725348</v>
      </c>
      <c r="V11" s="9">
        <f>'SwapDesk — Financials · Profit'!V5-'SwapDesk — Financials · Profit'!V10</f>
        <v>1628.7048704590352</v>
      </c>
      <c r="W11" s="9">
        <f>'SwapDesk — Financials · Profit'!W5-'SwapDesk — Financials · Profit'!W10</f>
        <v>1676.1750266392874</v>
      </c>
      <c r="X11" s="9">
        <f>'SwapDesk — Financials · Profit'!X5-'SwapDesk — Financials · Profit'!X10</f>
        <v>1722.5271520882513</v>
      </c>
      <c r="Y11" s="9">
        <f>'SwapDesk — Financials · Profit'!Y5-'SwapDesk — Financials · Profit'!Y10</f>
        <v>1767.7886662487833</v>
      </c>
    </row>
    <row r="12">
      <c r="A12" t="inlineStr" s="7">
        <is>
          <t xml:space="preserve">Gross margin</t>
        </is>
      </c>
      <c r="B12" s="19">
        <f>IFERROR('SwapDesk — Financials · Profit'!B11/'SwapDesk — Financials · Profit'!B5,"")</f>
        <v>0.6543162966274276</v>
      </c>
      <c r="C12" s="19">
        <f>IFERROR('SwapDesk — Financials · Profit'!C11/'SwapDesk — Financials · Profit'!C5,"")</f>
        <v>0.6719244724563042</v>
      </c>
      <c r="D12" s="19">
        <f>IFERROR('SwapDesk — Financials · Profit'!D11/'SwapDesk — Financials · Profit'!D5,"")</f>
        <v>0.6849250172013159</v>
      </c>
      <c r="E12" s="19">
        <f>IFERROR('SwapDesk — Financials · Profit'!E11/'SwapDesk — Financials · Profit'!E5,"")</f>
        <v>0.6949166673734644</v>
      </c>
      <c r="F12" s="19">
        <f>IFERROR('SwapDesk — Financials · Profit'!F11/'SwapDesk — Financials · Profit'!F5,"")</f>
        <v>0.7028351816945806</v>
      </c>
      <c r="G12" s="19">
        <f>IFERROR('SwapDesk — Financials · Profit'!G11/'SwapDesk — Financials · Profit'!G5,"")</f>
        <v>0.7092647216671193</v>
      </c>
      <c r="H12" s="19">
        <f>IFERROR('SwapDesk — Financials · Profit'!H11/'SwapDesk — Financials · Profit'!H5,"")</f>
        <v>0.714588806357443</v>
      </c>
      <c r="I12" s="19">
        <f>IFERROR('SwapDesk — Financials · Profit'!I11/'SwapDesk — Financials · Profit'!I5,"")</f>
        <v>0.719069644179062</v>
      </c>
      <c r="J12" s="19">
        <f>IFERROR('SwapDesk — Financials · Profit'!J11/'SwapDesk — Financials · Profit'!J5,"")</f>
        <v>0.722892582778096</v>
      </c>
      <c r="K12" s="19">
        <f>IFERROR('SwapDesk — Financials · Profit'!K11/'SwapDesk — Financials · Profit'!K5,"")</f>
        <v>0.7261923489417174</v>
      </c>
      <c r="L12" s="19">
        <f>IFERROR('SwapDesk — Financials · Profit'!L11/'SwapDesk — Financials · Profit'!L5,"")</f>
        <v>0.7290692257640828</v>
      </c>
      <c r="M12" s="19">
        <f>IFERROR('SwapDesk — Financials · Profit'!M11/'SwapDesk — Financials · Profit'!M5,"")</f>
        <v>0.731599398724709</v>
      </c>
      <c r="N12" s="19">
        <f>IFERROR('SwapDesk — Financials · Profit'!N11/'SwapDesk — Financials · Profit'!N5,"")</f>
        <v>0.7338417838449748</v>
      </c>
      <c r="O12" s="19">
        <f>IFERROR('SwapDesk — Financials · Profit'!O11/'SwapDesk — Financials · Profit'!O5,"")</f>
        <v>0.7358426586212223</v>
      </c>
      <c r="P12" s="19">
        <f>IFERROR('SwapDesk — Financials · Profit'!P11/'SwapDesk — Financials · Profit'!P5,"")</f>
        <v>0.7376388786284793</v>
      </c>
      <c r="Q12" s="19">
        <f>IFERROR('SwapDesk — Financials · Profit'!Q11/'SwapDesk — Financials · Profit'!Q5,"")</f>
        <v>0.7392601593264889</v>
      </c>
      <c r="R12" s="19">
        <f>IFERROR('SwapDesk — Financials · Profit'!R11/'SwapDesk — Financials · Profit'!R5,"")</f>
        <v>0.7407307253710308</v>
      </c>
      <c r="S12" s="19">
        <f>IFERROR('SwapDesk — Financials · Profit'!S11/'SwapDesk — Financials · Profit'!S5,"")</f>
        <v>0.7420705229399375</v>
      </c>
      <c r="T12" s="19">
        <f>IFERROR('SwapDesk — Financials · Profit'!T11/'SwapDesk — Financials · Profit'!T5,"")</f>
        <v>0.7432961244371528</v>
      </c>
      <c r="U12" s="19">
        <f>IFERROR('SwapDesk — Financials · Profit'!U11/'SwapDesk — Financials · Profit'!U5,"")</f>
        <v>0.7444214129469385</v>
      </c>
      <c r="V12" s="19">
        <f>IFERROR('SwapDesk — Financials · Profit'!V11/'SwapDesk — Financials · Profit'!V5,"")</f>
        <v>0.7454581065552943</v>
      </c>
      <c r="W12" s="19">
        <f>IFERROR('SwapDesk — Financials · Profit'!W11/'SwapDesk — Financials · Profit'!W5,"")</f>
        <v>0.746416164606399</v>
      </c>
      <c r="X12" s="19">
        <f>IFERROR('SwapDesk — Financials · Profit'!X11/'SwapDesk — Financials · Profit'!X5,"")</f>
        <v>0.7473041057885066</v>
      </c>
      <c r="Y12" s="19">
        <f>IFERROR('SwapDesk — Financials · Profit'!Y11/'SwapDesk — Financials · Profit'!Y5,"")</f>
        <v>0.748129259595013</v>
      </c>
    </row>
    <row r="13">
      <c r="A13" t="inlineStr" s="7">
        <is>
          <t xml:space="preserve">Onboarding cost</t>
        </is>
      </c>
      <c r="B13" s="9">
        <f>SUM('SwapDesk — Operations · Merchan'!C51,'SwapDesk — Operations · Merchan'!C52)</f>
        <v>56.25</v>
      </c>
      <c r="C13" s="9">
        <f>SUM('SwapDesk — Operations · Merchan'!D51,'SwapDesk — Operations · Merchan'!D52)</f>
        <v>56.25</v>
      </c>
      <c r="D13" s="9">
        <f>SUM('SwapDesk — Operations · Merchan'!E51,'SwapDesk — Operations · Merchan'!E52)</f>
        <v>56.25</v>
      </c>
      <c r="E13" s="9">
        <f>SUM('SwapDesk — Operations · Merchan'!F51,'SwapDesk — Operations · Merchan'!F52)</f>
        <v>56.25</v>
      </c>
      <c r="F13" s="9">
        <f>SUM('SwapDesk — Operations · Merchan'!G51,'SwapDesk — Operations · Merchan'!G52)</f>
        <v>56.25</v>
      </c>
      <c r="G13" s="9">
        <f>SUM('SwapDesk — Operations · Merchan'!H51,'SwapDesk — Operations · Merchan'!H52)</f>
        <v>56.25</v>
      </c>
      <c r="H13" s="9">
        <f>SUM('SwapDesk — Operations · Merchan'!I51,'SwapDesk — Operations · Merchan'!I52)</f>
        <v>56.25</v>
      </c>
      <c r="I13" s="9">
        <f>SUM('SwapDesk — Operations · Merchan'!J51,'SwapDesk — Operations · Merchan'!J52)</f>
        <v>56.25</v>
      </c>
      <c r="J13" s="9">
        <f>SUM('SwapDesk — Operations · Merchan'!K51,'SwapDesk — Operations · Merchan'!K52)</f>
        <v>56.25</v>
      </c>
      <c r="K13" s="9">
        <f>SUM('SwapDesk — Operations · Merchan'!L51,'SwapDesk — Operations · Merchan'!L52)</f>
        <v>56.25</v>
      </c>
      <c r="L13" s="9">
        <f>SUM('SwapDesk — Operations · Merchan'!M51,'SwapDesk — Operations · Merchan'!M52)</f>
        <v>56.25</v>
      </c>
      <c r="M13" s="9">
        <f>SUM('SwapDesk — Operations · Merchan'!N51,'SwapDesk — Operations · Merchan'!N52)</f>
        <v>56.25</v>
      </c>
      <c r="N13" s="9">
        <f>SUM('SwapDesk — Operations · Merchan'!O51,'SwapDesk — Operations · Merchan'!O52)</f>
        <v>56.25</v>
      </c>
      <c r="O13" s="9">
        <f>SUM('SwapDesk — Operations · Merchan'!P51,'SwapDesk — Operations · Merchan'!P52)</f>
        <v>56.25</v>
      </c>
      <c r="P13" s="9">
        <f>SUM('SwapDesk — Operations · Merchan'!Q51,'SwapDesk — Operations · Merchan'!Q52)</f>
        <v>56.25</v>
      </c>
      <c r="Q13" s="9">
        <f>SUM('SwapDesk — Operations · Merchan'!R51,'SwapDesk — Operations · Merchan'!R52)</f>
        <v>56.25</v>
      </c>
      <c r="R13" s="9">
        <f>SUM('SwapDesk — Operations · Merchan'!S51,'SwapDesk — Operations · Merchan'!S52)</f>
        <v>56.25</v>
      </c>
      <c r="S13" s="9">
        <f>SUM('SwapDesk — Operations · Merchan'!T51,'SwapDesk — Operations · Merchan'!T52)</f>
        <v>56.25</v>
      </c>
      <c r="T13" s="9">
        <f>SUM('SwapDesk — Operations · Merchan'!U51,'SwapDesk — Operations · Merchan'!U52)</f>
        <v>56.25</v>
      </c>
      <c r="U13" s="9">
        <f>SUM('SwapDesk — Operations · Merchan'!V51,'SwapDesk — Operations · Merchan'!V52)</f>
        <v>56.25</v>
      </c>
      <c r="V13" s="9">
        <f>SUM('SwapDesk — Operations · Merchan'!W51,'SwapDesk — Operations · Merchan'!W52)</f>
        <v>56.25</v>
      </c>
      <c r="W13" s="9">
        <f>SUM('SwapDesk — Operations · Merchan'!X51,'SwapDesk — Operations · Merchan'!X52)</f>
        <v>56.25</v>
      </c>
      <c r="X13" s="9">
        <f>SUM('SwapDesk — Operations · Merchan'!Y51,'SwapDesk — Operations · Merchan'!Y52)</f>
        <v>56.25</v>
      </c>
      <c r="Y13" s="9">
        <f>SUM('SwapDesk — Operations · Merchan'!Z51,'SwapDesk — Operations · Merchan'!Z52)</f>
        <v>56.25</v>
      </c>
    </row>
    <row r="14">
      <c r="A14" t="inlineStr" s="7">
        <is>
          <t xml:space="preserve">Acquisition spending</t>
        </is>
      </c>
      <c r="B14" s="9">
        <f>SUM('SwapDesk — Operations · Merchan'!C54,'SwapDesk — Operations · Merchan'!C55)</f>
        <v>150</v>
      </c>
      <c r="C14" s="9">
        <f>SUM('SwapDesk — Operations · Merchan'!D54,'SwapDesk — Operations · Merchan'!D55)</f>
        <v>150</v>
      </c>
      <c r="D14" s="9">
        <f>SUM('SwapDesk — Operations · Merchan'!E54,'SwapDesk — Operations · Merchan'!E55)</f>
        <v>150</v>
      </c>
      <c r="E14" s="9">
        <f>SUM('SwapDesk — Operations · Merchan'!F54,'SwapDesk — Operations · Merchan'!F55)</f>
        <v>150</v>
      </c>
      <c r="F14" s="9">
        <f>SUM('SwapDesk — Operations · Merchan'!G54,'SwapDesk — Operations · Merchan'!G55)</f>
        <v>150</v>
      </c>
      <c r="G14" s="9">
        <f>SUM('SwapDesk — Operations · Merchan'!H54,'SwapDesk — Operations · Merchan'!H55)</f>
        <v>150</v>
      </c>
      <c r="H14" s="9">
        <f>SUM('SwapDesk — Operations · Merchan'!I54,'SwapDesk — Operations · Merchan'!I55)</f>
        <v>150</v>
      </c>
      <c r="I14" s="9">
        <f>SUM('SwapDesk — Operations · Merchan'!J54,'SwapDesk — Operations · Merchan'!J55)</f>
        <v>150</v>
      </c>
      <c r="J14" s="9">
        <f>SUM('SwapDesk — Operations · Merchan'!K54,'SwapDesk — Operations · Merchan'!K55)</f>
        <v>150</v>
      </c>
      <c r="K14" s="9">
        <f>SUM('SwapDesk — Operations · Merchan'!L54,'SwapDesk — Operations · Merchan'!L55)</f>
        <v>150</v>
      </c>
      <c r="L14" s="9">
        <f>SUM('SwapDesk — Operations · Merchan'!M54,'SwapDesk — Operations · Merchan'!M55)</f>
        <v>150</v>
      </c>
      <c r="M14" s="9">
        <f>SUM('SwapDesk — Operations · Merchan'!N54,'SwapDesk — Operations · Merchan'!N55)</f>
        <v>150</v>
      </c>
      <c r="N14" s="9">
        <f>SUM('SwapDesk — Operations · Merchan'!O54,'SwapDesk — Operations · Merchan'!O55)</f>
        <v>150</v>
      </c>
      <c r="O14" s="9">
        <f>SUM('SwapDesk — Operations · Merchan'!P54,'SwapDesk — Operations · Merchan'!P55)</f>
        <v>150</v>
      </c>
      <c r="P14" s="9">
        <f>SUM('SwapDesk — Operations · Merchan'!Q54,'SwapDesk — Operations · Merchan'!Q55)</f>
        <v>150</v>
      </c>
      <c r="Q14" s="9">
        <f>SUM('SwapDesk — Operations · Merchan'!R54,'SwapDesk — Operations · Merchan'!R55)</f>
        <v>150</v>
      </c>
      <c r="R14" s="9">
        <f>SUM('SwapDesk — Operations · Merchan'!S54,'SwapDesk — Operations · Merchan'!S55)</f>
        <v>150</v>
      </c>
      <c r="S14" s="9">
        <f>SUM('SwapDesk — Operations · Merchan'!T54,'SwapDesk — Operations · Merchan'!T55)</f>
        <v>150</v>
      </c>
      <c r="T14" s="9">
        <f>SUM('SwapDesk — Operations · Merchan'!U54,'SwapDesk — Operations · Merchan'!U55)</f>
        <v>150</v>
      </c>
      <c r="U14" s="9">
        <f>SUM('SwapDesk — Operations · Merchan'!V54,'SwapDesk — Operations · Merchan'!V55)</f>
        <v>150</v>
      </c>
      <c r="V14" s="9">
        <f>SUM('SwapDesk — Operations · Merchan'!W54,'SwapDesk — Operations · Merchan'!W55)</f>
        <v>150</v>
      </c>
      <c r="W14" s="9">
        <f>SUM('SwapDesk — Operations · Merchan'!X54,'SwapDesk — Operations · Merchan'!X55)</f>
        <v>150</v>
      </c>
      <c r="X14" s="9">
        <f>SUM('SwapDesk — Operations · Merchan'!Y54,'SwapDesk — Operations · Merchan'!Y55)</f>
        <v>150</v>
      </c>
      <c r="Y14" s="9">
        <f>SUM('SwapDesk — Operations · Merchan'!Z54,'SwapDesk — Operations · Merchan'!Z55)</f>
        <v>150</v>
      </c>
    </row>
    <row r="15">
      <c r="A15" t="inlineStr" s="7">
        <is>
          <t xml:space="preserve">Founder payroll</t>
        </is>
      </c>
      <c r="B15" s="9">
        <f>SUM('SwapDesk — Financials · Founder'!C6)</f>
        <v>0</v>
      </c>
      <c r="C15" s="9">
        <f>SUM('SwapDesk — Financials · Founder'!D6)</f>
        <v>0</v>
      </c>
      <c r="D15" s="9">
        <f>SUM('SwapDesk — Financials · Founder'!E6)</f>
        <v>0</v>
      </c>
      <c r="E15" s="9">
        <f>SUM('SwapDesk — Financials · Founder'!F6)</f>
        <v>2000</v>
      </c>
      <c r="F15" s="9">
        <f>SUM('SwapDesk — Financials · Founder'!G6)</f>
        <v>2000</v>
      </c>
      <c r="G15" s="9">
        <f>SUM('SwapDesk — Financials · Founder'!H6)</f>
        <v>2000</v>
      </c>
      <c r="H15" s="9">
        <f>SUM('SwapDesk — Financials · Founder'!I6)</f>
        <v>2000</v>
      </c>
      <c r="I15" s="9">
        <f>SUM('SwapDesk — Financials · Founder'!J6)</f>
        <v>2000</v>
      </c>
      <c r="J15" s="9">
        <f>SUM('SwapDesk — Financials · Founder'!K6)</f>
        <v>2000</v>
      </c>
      <c r="K15" s="9">
        <f>SUM('SwapDesk — Financials · Founder'!L6)</f>
        <v>2000</v>
      </c>
      <c r="L15" s="9">
        <f>SUM('SwapDesk — Financials · Founder'!M6)</f>
        <v>2000</v>
      </c>
      <c r="M15" s="9">
        <f>SUM('SwapDesk — Financials · Founder'!N6)</f>
        <v>2000</v>
      </c>
      <c r="N15" s="9">
        <f>SUM('SwapDesk — Financials · Founder'!O6)</f>
        <v>2000</v>
      </c>
      <c r="O15" s="9">
        <f>SUM('SwapDesk — Financials · Founder'!P6)</f>
        <v>2000</v>
      </c>
      <c r="P15" s="9">
        <f>SUM('SwapDesk — Financials · Founder'!Q6)</f>
        <v>2000</v>
      </c>
      <c r="Q15" s="9">
        <f>SUM('SwapDesk — Financials · Founder'!R6)</f>
        <v>2000</v>
      </c>
      <c r="R15" s="9">
        <f>SUM('SwapDesk — Financials · Founder'!S6)</f>
        <v>2000</v>
      </c>
      <c r="S15" s="9">
        <f>SUM('SwapDesk — Financials · Founder'!T6)</f>
        <v>2000</v>
      </c>
      <c r="T15" s="9">
        <f>SUM('SwapDesk — Financials · Founder'!U6)</f>
        <v>2000</v>
      </c>
      <c r="U15" s="9">
        <f>SUM('SwapDesk — Financials · Founder'!V6)</f>
        <v>2000</v>
      </c>
      <c r="V15" s="9">
        <f>SUM('SwapDesk — Financials · Founder'!W6)</f>
        <v>2000</v>
      </c>
      <c r="W15" s="9">
        <f>SUM('SwapDesk — Financials · Founder'!X6)</f>
        <v>2000</v>
      </c>
      <c r="X15" s="9">
        <f>SUM('SwapDesk — Financials · Founder'!Y6)</f>
        <v>2000</v>
      </c>
      <c r="Y15" s="9">
        <f>SUM('SwapDesk — Financials · Founder'!Z6)</f>
        <v>2000</v>
      </c>
    </row>
    <row r="16">
      <c r="A16" t="inlineStr" s="7">
        <is>
          <t xml:space="preserve">Other overhead</t>
        </is>
      </c>
      <c r="B16" s="9">
        <f>IF('SwapDesk — Assumptions · Commer'!B14="","",'SwapDesk — Assumptions · Commer'!B14)</f>
        <v>150</v>
      </c>
      <c r="C16" s="9">
        <f>IF('SwapDesk — Assumptions · Commer'!B14="","",'SwapDesk — Assumptions · Commer'!B14)</f>
        <v>150</v>
      </c>
      <c r="D16" s="9">
        <f>IF('SwapDesk — Assumptions · Commer'!B14="","",'SwapDesk — Assumptions · Commer'!B14)</f>
        <v>150</v>
      </c>
      <c r="E16" s="9">
        <f>IF('SwapDesk — Assumptions · Commer'!B14="","",'SwapDesk — Assumptions · Commer'!B14)</f>
        <v>150</v>
      </c>
      <c r="F16" s="9">
        <f>IF('SwapDesk — Assumptions · Commer'!B14="","",'SwapDesk — Assumptions · Commer'!B14)</f>
        <v>150</v>
      </c>
      <c r="G16" s="9">
        <f>IF('SwapDesk — Assumptions · Commer'!B14="","",'SwapDesk — Assumptions · Commer'!B14)</f>
        <v>150</v>
      </c>
      <c r="H16" s="9">
        <f>IF('SwapDesk — Assumptions · Commer'!B14="","",'SwapDesk — Assumptions · Commer'!B14)</f>
        <v>150</v>
      </c>
      <c r="I16" s="9">
        <f>IF('SwapDesk — Assumptions · Commer'!B14="","",'SwapDesk — Assumptions · Commer'!B14)</f>
        <v>150</v>
      </c>
      <c r="J16" s="9">
        <f>IF('SwapDesk — Assumptions · Commer'!B14="","",'SwapDesk — Assumptions · Commer'!B14)</f>
        <v>150</v>
      </c>
      <c r="K16" s="9">
        <f>IF('SwapDesk — Assumptions · Commer'!B14="","",'SwapDesk — Assumptions · Commer'!B14)</f>
        <v>150</v>
      </c>
      <c r="L16" s="9">
        <f>IF('SwapDesk — Assumptions · Commer'!B14="","",'SwapDesk — Assumptions · Commer'!B14)</f>
        <v>150</v>
      </c>
      <c r="M16" s="9">
        <f>IF('SwapDesk — Assumptions · Commer'!B14="","",'SwapDesk — Assumptions · Commer'!B14)</f>
        <v>150</v>
      </c>
      <c r="N16" s="9">
        <f>IF('SwapDesk — Assumptions · Commer'!B14="","",'SwapDesk — Assumptions · Commer'!B14)</f>
        <v>150</v>
      </c>
      <c r="O16" s="9">
        <f>IF('SwapDesk — Assumptions · Commer'!B14="","",'SwapDesk — Assumptions · Commer'!B14)</f>
        <v>150</v>
      </c>
      <c r="P16" s="9">
        <f>IF('SwapDesk — Assumptions · Commer'!B14="","",'SwapDesk — Assumptions · Commer'!B14)</f>
        <v>150</v>
      </c>
      <c r="Q16" s="9">
        <f>IF('SwapDesk — Assumptions · Commer'!B14="","",'SwapDesk — Assumptions · Commer'!B14)</f>
        <v>150</v>
      </c>
      <c r="R16" s="9">
        <f>IF('SwapDesk — Assumptions · Commer'!B14="","",'SwapDesk — Assumptions · Commer'!B14)</f>
        <v>150</v>
      </c>
      <c r="S16" s="9">
        <f>IF('SwapDesk — Assumptions · Commer'!B14="","",'SwapDesk — Assumptions · Commer'!B14)</f>
        <v>150</v>
      </c>
      <c r="T16" s="9">
        <f>IF('SwapDesk — Assumptions · Commer'!B14="","",'SwapDesk — Assumptions · Commer'!B14)</f>
        <v>150</v>
      </c>
      <c r="U16" s="9">
        <f>IF('SwapDesk — Assumptions · Commer'!B14="","",'SwapDesk — Assumptions · Commer'!B14)</f>
        <v>150</v>
      </c>
      <c r="V16" s="9">
        <f>IF('SwapDesk — Assumptions · Commer'!B14="","",'SwapDesk — Assumptions · Commer'!B14)</f>
        <v>150</v>
      </c>
      <c r="W16" s="9">
        <f>IF('SwapDesk — Assumptions · Commer'!B14="","",'SwapDesk — Assumptions · Commer'!B14)</f>
        <v>150</v>
      </c>
      <c r="X16" s="9">
        <f>IF('SwapDesk — Assumptions · Commer'!B14="","",'SwapDesk — Assumptions · Commer'!B14)</f>
        <v>150</v>
      </c>
      <c r="Y16" s="9">
        <f>IF('SwapDesk — Assumptions · Commer'!B14="","",'SwapDesk — Assumptions · Commer'!B14)</f>
        <v>150</v>
      </c>
    </row>
    <row r="17">
      <c r="A17" t="inlineStr" s="7">
        <is>
          <t xml:space="preserve">Operating expenses</t>
        </is>
      </c>
      <c r="B17" s="9">
        <f>'SwapDesk — Financials · Profit'!B13+'SwapDesk — Financials · Profit'!B14+'SwapDesk — Financials · Profit'!B15+'SwapDesk — Financials · Profit'!B16</f>
        <v>356.25</v>
      </c>
      <c r="C17" s="9">
        <f>'SwapDesk — Financials · Profit'!C13+'SwapDesk — Financials · Profit'!C14+'SwapDesk — Financials · Profit'!C15+'SwapDesk — Financials · Profit'!C16</f>
        <v>356.25</v>
      </c>
      <c r="D17" s="9">
        <f>'SwapDesk — Financials · Profit'!D13+'SwapDesk — Financials · Profit'!D14+'SwapDesk — Financials · Profit'!D15+'SwapDesk — Financials · Profit'!D16</f>
        <v>356.25</v>
      </c>
      <c r="E17" s="9">
        <f>'SwapDesk — Financials · Profit'!E13+'SwapDesk — Financials · Profit'!E14+'SwapDesk — Financials · Profit'!E15+'SwapDesk — Financials · Profit'!E16</f>
        <v>2356.25</v>
      </c>
      <c r="F17" s="9">
        <f>'SwapDesk — Financials · Profit'!F13+'SwapDesk — Financials · Profit'!F14+'SwapDesk — Financials · Profit'!F15+'SwapDesk — Financials · Profit'!F16</f>
        <v>2356.25</v>
      </c>
      <c r="G17" s="9">
        <f>'SwapDesk — Financials · Profit'!G13+'SwapDesk — Financials · Profit'!G14+'SwapDesk — Financials · Profit'!G15+'SwapDesk — Financials · Profit'!G16</f>
        <v>2356.25</v>
      </c>
      <c r="H17" s="9">
        <f>'SwapDesk — Financials · Profit'!H13+'SwapDesk — Financials · Profit'!H14+'SwapDesk — Financials · Profit'!H15+'SwapDesk — Financials · Profit'!H16</f>
        <v>2356.25</v>
      </c>
      <c r="I17" s="9">
        <f>'SwapDesk — Financials · Profit'!I13+'SwapDesk — Financials · Profit'!I14+'SwapDesk — Financials · Profit'!I15+'SwapDesk — Financials · Profit'!I16</f>
        <v>2356.25</v>
      </c>
      <c r="J17" s="9">
        <f>'SwapDesk — Financials · Profit'!J13+'SwapDesk — Financials · Profit'!J14+'SwapDesk — Financials · Profit'!J15+'SwapDesk — Financials · Profit'!J16</f>
        <v>2356.25</v>
      </c>
      <c r="K17" s="9">
        <f>'SwapDesk — Financials · Profit'!K13+'SwapDesk — Financials · Profit'!K14+'SwapDesk — Financials · Profit'!K15+'SwapDesk — Financials · Profit'!K16</f>
        <v>2356.25</v>
      </c>
      <c r="L17" s="9">
        <f>'SwapDesk — Financials · Profit'!L13+'SwapDesk — Financials · Profit'!L14+'SwapDesk — Financials · Profit'!L15+'SwapDesk — Financials · Profit'!L16</f>
        <v>2356.25</v>
      </c>
      <c r="M17" s="9">
        <f>'SwapDesk — Financials · Profit'!M13+'SwapDesk — Financials · Profit'!M14+'SwapDesk — Financials · Profit'!M15+'SwapDesk — Financials · Profit'!M16</f>
        <v>2356.25</v>
      </c>
      <c r="N17" s="9">
        <f>'SwapDesk — Financials · Profit'!N13+'SwapDesk — Financials · Profit'!N14+'SwapDesk — Financials · Profit'!N15+'SwapDesk — Financials · Profit'!N16</f>
        <v>2356.25</v>
      </c>
      <c r="O17" s="9">
        <f>'SwapDesk — Financials · Profit'!O13+'SwapDesk — Financials · Profit'!O14+'SwapDesk — Financials · Profit'!O15+'SwapDesk — Financials · Profit'!O16</f>
        <v>2356.25</v>
      </c>
      <c r="P17" s="9">
        <f>'SwapDesk — Financials · Profit'!P13+'SwapDesk — Financials · Profit'!P14+'SwapDesk — Financials · Profit'!P15+'SwapDesk — Financials · Profit'!P16</f>
        <v>2356.25</v>
      </c>
      <c r="Q17" s="9">
        <f>'SwapDesk — Financials · Profit'!Q13+'SwapDesk — Financials · Profit'!Q14+'SwapDesk — Financials · Profit'!Q15+'SwapDesk — Financials · Profit'!Q16</f>
        <v>2356.25</v>
      </c>
      <c r="R17" s="9">
        <f>'SwapDesk — Financials · Profit'!R13+'SwapDesk — Financials · Profit'!R14+'SwapDesk — Financials · Profit'!R15+'SwapDesk — Financials · Profit'!R16</f>
        <v>2356.25</v>
      </c>
      <c r="S17" s="9">
        <f>'SwapDesk — Financials · Profit'!S13+'SwapDesk — Financials · Profit'!S14+'SwapDesk — Financials · Profit'!S15+'SwapDesk — Financials · Profit'!S16</f>
        <v>2356.25</v>
      </c>
      <c r="T17" s="9">
        <f>'SwapDesk — Financials · Profit'!T13+'SwapDesk — Financials · Profit'!T14+'SwapDesk — Financials · Profit'!T15+'SwapDesk — Financials · Profit'!T16</f>
        <v>2356.25</v>
      </c>
      <c r="U17" s="9">
        <f>'SwapDesk — Financials · Profit'!U13+'SwapDesk — Financials · Profit'!U14+'SwapDesk — Financials · Profit'!U15+'SwapDesk — Financials · Profit'!U16</f>
        <v>2356.25</v>
      </c>
      <c r="V17" s="9">
        <f>'SwapDesk — Financials · Profit'!V13+'SwapDesk — Financials · Profit'!V14+'SwapDesk — Financials · Profit'!V15+'SwapDesk — Financials · Profit'!V16</f>
        <v>2356.25</v>
      </c>
      <c r="W17" s="9">
        <f>'SwapDesk — Financials · Profit'!W13+'SwapDesk — Financials · Profit'!W14+'SwapDesk — Financials · Profit'!W15+'SwapDesk — Financials · Profit'!W16</f>
        <v>2356.25</v>
      </c>
      <c r="X17" s="9">
        <f>'SwapDesk — Financials · Profit'!X13+'SwapDesk — Financials · Profit'!X14+'SwapDesk — Financials · Profit'!X15+'SwapDesk — Financials · Profit'!X16</f>
        <v>2356.25</v>
      </c>
      <c r="Y17" s="9">
        <f>'SwapDesk — Financials · Profit'!Y13+'SwapDesk — Financials · Profit'!Y14+'SwapDesk — Financials · Profit'!Y15+'SwapDesk — Financials · Profit'!Y16</f>
        <v>2356.25</v>
      </c>
    </row>
    <row r="18">
      <c r="A18" t="inlineStr" s="7">
        <is>
          <t xml:space="preserve">Operating profit</t>
        </is>
      </c>
      <c r="B18" s="9">
        <f>'SwapDesk — Financials · Profit'!B11-'SwapDesk — Financials · Profit'!B17</f>
        <v>38.950500000000034</v>
      </c>
      <c r="C18" s="9">
        <f>'SwapDesk — Financials · Profit'!C11-'SwapDesk — Financials · Profit'!C17</f>
        <v>115.80630499999995</v>
      </c>
      <c r="D18" s="9">
        <f>'SwapDesk — Financials · Profit'!D11-'SwapDesk — Financials · Profit'!D17</f>
        <v>190.81489944999998</v>
      </c>
      <c r="E18" s="9">
        <f>'SwapDesk — Financials · Profit'!E11-'SwapDesk — Financials · Profit'!E17</f>
        <v>-1735.9774696055001</v>
      </c>
      <c r="F18" s="9">
        <f>'SwapDesk — Financials · Profit'!F11-'SwapDesk — Financials · Profit'!F17</f>
        <v>-1664.525759147895</v>
      </c>
      <c r="G18" s="9">
        <f>'SwapDesk — Financials · Profit'!G11-'SwapDesk — Financials · Profit'!G17</f>
        <v>-1594.7860977314072</v>
      </c>
      <c r="H18" s="9">
        <f>'SwapDesk — Financials · Profit'!H11-'SwapDesk — Financials · Profit'!H17</f>
        <v>-1526.7157539302548</v>
      </c>
      <c r="I18" s="9">
        <f>'SwapDesk — Financials · Profit'!I11-'SwapDesk — Financials · Profit'!I17</f>
        <v>-1460.273105660521</v>
      </c>
      <c r="J18" s="9">
        <f>'SwapDesk — Financials · Profit'!J11-'SwapDesk — Financials · Profit'!J17</f>
        <v>-1395.4176103519158</v>
      </c>
      <c r="K18" s="9">
        <f>'SwapDesk — Financials · Profit'!K11-'SwapDesk — Financials · Profit'!K17</f>
        <v>-1332.1097759453446</v>
      </c>
      <c r="L18" s="9">
        <f>'SwapDesk — Financials · Profit'!L11-'SwapDesk — Financials · Profit'!L17</f>
        <v>-1270.311132692891</v>
      </c>
      <c r="M18" s="9">
        <f>'SwapDesk — Financials · Profit'!M11-'SwapDesk — Financials · Profit'!M17</f>
        <v>-1209.9842057374926</v>
      </c>
      <c r="N18" s="9">
        <f>'SwapDesk — Financials · Profit'!N11-'SwapDesk — Financials · Profit'!N17</f>
        <v>-1151.0924884502483</v>
      </c>
      <c r="O18" s="9">
        <f>'SwapDesk — Financials · Profit'!O11-'SwapDesk — Financials · Profit'!O17</f>
        <v>-1093.600416503924</v>
      </c>
      <c r="P18" s="9">
        <f>'SwapDesk — Financials · Profit'!P11-'SwapDesk — Financials · Profit'!P17</f>
        <v>-1037.473342661846</v>
      </c>
      <c r="Q18" s="9">
        <f>'SwapDesk — Financials · Profit'!Q11-'SwapDesk — Financials · Profit'!Q17</f>
        <v>-982.6775122619695</v>
      </c>
      <c r="R18" s="9">
        <f>'SwapDesk — Financials · Profit'!R11-'SwapDesk — Financials · Profit'!R17</f>
        <v>-929.1800393764893</v>
      </c>
      <c r="S18" s="9">
        <f>'SwapDesk — Financials · Profit'!S11-'SwapDesk — Financials · Profit'!S17</f>
        <v>-876.9488836279259</v>
      </c>
      <c r="T18" s="9">
        <f>'SwapDesk — Financials · Profit'!T11-'SwapDesk — Financials · Profit'!T17</f>
        <v>-825.9528276431647</v>
      </c>
      <c r="U18" s="9">
        <f>'SwapDesk — Financials · Profit'!U11-'SwapDesk — Financials · Profit'!U17</f>
        <v>-776.1614551274652</v>
      </c>
      <c r="V18" s="9">
        <f>'SwapDesk — Financials · Profit'!V11-'SwapDesk — Financials · Profit'!V17</f>
        <v>-727.5451295409648</v>
      </c>
      <c r="W18" s="9">
        <f>'SwapDesk — Financials · Profit'!W11-'SwapDesk — Financials · Profit'!W17</f>
        <v>-680.0749733607126</v>
      </c>
      <c r="X18" s="9">
        <f>'SwapDesk — Financials · Profit'!X11-'SwapDesk — Financials · Profit'!X17</f>
        <v>-633.7228479117487</v>
      </c>
      <c r="Y18" s="9">
        <f>'SwapDesk — Financials · Profit'!Y11-'SwapDesk — Financials · Profit'!Y17</f>
        <v>-588.4613337512167</v>
      </c>
    </row>
    <row r="19">
      <c r="A19" t="inlineStr" s="7">
        <is>
          <t xml:space="preserve">Cash collections</t>
        </is>
      </c>
      <c r="B19" s="9">
        <f>IF('SwapDesk — Financials · Profit'!B5="","",'SwapDesk — Financials · Profit'!B5)</f>
        <v>603.99</v>
      </c>
      <c r="C19" s="9">
        <f>IF('SwapDesk — Financials · Profit'!C5="","",'SwapDesk — Financials · Profit'!C5)</f>
        <v>702.5437</v>
      </c>
      <c r="D19" s="9">
        <f>IF('SwapDesk — Financials · Profit'!D5="","",'SwapDesk — Financials · Profit'!D5)</f>
        <v>798.722321</v>
      </c>
      <c r="E19" s="9">
        <f>IF('SwapDesk — Financials · Profit'!E5="","",'SwapDesk — Financials · Profit'!E5)</f>
        <v>892.58548473</v>
      </c>
      <c r="F19" s="9">
        <f>IF('SwapDesk — Financials · Profit'!F5="","",'SwapDesk — Financials · Profit'!F5)</f>
        <v>984.1912568808999</v>
      </c>
      <c r="G19" s="9">
        <f>IF('SwapDesk — Financials · Profit'!G5="","",'SwapDesk — Financials · Profit'!G5)</f>
        <v>1073.5961891334168</v>
      </c>
      <c r="H19" s="9">
        <f>IF('SwapDesk — Financials · Profit'!H5="","",'SwapDesk — Financials · Profit'!H5)</f>
        <v>1160.8553600191794</v>
      </c>
      <c r="I19" s="9">
        <f>IF('SwapDesk — Financials · Profit'!I5="","",'SwapDesk — Financials · Profit'!I5)</f>
        <v>1246.022414647174</v>
      </c>
      <c r="J19" s="9">
        <f>IF('SwapDesk — Financials · Profit'!J5="","",'SwapDesk — Financials · Profit'!J5)</f>
        <v>1329.1496033277572</v>
      </c>
      <c r="K19" s="9">
        <f>IF('SwapDesk — Financials · Profit'!K5="","",'SwapDesk — Financials · Profit'!K5)</f>
        <v>1410.2878191255231</v>
      </c>
      <c r="L19" s="9">
        <f>IF('SwapDesk — Financials · Profit'!L5="","",'SwapDesk — Financials · Profit'!L5)</f>
        <v>1489.4866343714039</v>
      </c>
      <c r="M19" s="9">
        <f>IF('SwapDesk — Financials · Profit'!M5="","",'SwapDesk — Financials · Profit'!M5)</f>
        <v>1566.7943361635153</v>
      </c>
      <c r="N19" s="9">
        <f>IF('SwapDesk — Financials · Profit'!N5="","",'SwapDesk — Financials · Profit'!N5)</f>
        <v>1642.2579608853985</v>
      </c>
      <c r="O19" s="9">
        <f>IF('SwapDesk — Financials · Profit'!O5="","",'SwapDesk — Financials · Profit'!O5)</f>
        <v>1715.9233277694893</v>
      </c>
      <c r="P19" s="9">
        <f>IF('SwapDesk — Financials · Profit'!P5="","",'SwapDesk — Financials · Profit'!P5)</f>
        <v>1787.835071532844</v>
      </c>
      <c r="Q19" s="9">
        <f>IF('SwapDesk — Financials · Profit'!Q5="","",'SwapDesk — Financials · Profit'!Q5)</f>
        <v>1858.0366741113694</v>
      </c>
      <c r="R19" s="9">
        <f>IF('SwapDesk — Financials · Profit'!R5="","",'SwapDesk — Financials · Profit'!R5)</f>
        <v>1926.570495518049</v>
      </c>
      <c r="S19" s="9">
        <f>IF('SwapDesk — Financials · Profit'!S5="","",'SwapDesk — Financials · Profit'!S5)</f>
        <v>1993.477803849928</v>
      </c>
      <c r="T19" s="9">
        <f>IF('SwapDesk — Financials · Profit'!T5="","",'SwapDesk — Financials · Profit'!T5)</f>
        <v>2058.7988044679023</v>
      </c>
      <c r="U19" s="9">
        <f>IF('SwapDesk — Financials · Profit'!U5="","",'SwapDesk — Financials · Profit'!U5)</f>
        <v>2122.5726683726675</v>
      </c>
      <c r="V19" s="9">
        <f>IF('SwapDesk — Financials · Profit'!V5="","",'SwapDesk — Financials · Profit'!V5)</f>
        <v>2184.8375597995137</v>
      </c>
      <c r="W19" s="9">
        <f>IF('SwapDesk — Financials · Profit'!W5="","",'SwapDesk — Financials · Profit'!W5)</f>
        <v>2245.6306630539943</v>
      </c>
      <c r="X19" s="9">
        <f>IF('SwapDesk — Financials · Profit'!X5="","",'SwapDesk — Financials · Profit'!X5)</f>
        <v>2304.988208609871</v>
      </c>
      <c r="Y19" s="9">
        <f>IF('SwapDesk — Financials · Profit'!Y5="","",'SwapDesk — Financials · Profit'!Y5)</f>
        <v>2362.9454984901213</v>
      </c>
    </row>
    <row r="20">
      <c r="A20" t="inlineStr" s="7">
        <is>
          <t xml:space="preserve">Cash payments</t>
        </is>
      </c>
      <c r="B20" s="9">
        <f>'SwapDesk — Financials · Profit'!B10+'SwapDesk — Financials · Profit'!B17</f>
        <v>565.0395</v>
      </c>
      <c r="C20" s="9">
        <f>'SwapDesk — Financials · Profit'!C10+'SwapDesk — Financials · Profit'!C17</f>
        <v>586.737395</v>
      </c>
      <c r="D20" s="9">
        <f>'SwapDesk — Financials · Profit'!D10+'SwapDesk — Financials · Profit'!D17</f>
        <v>607.90742155</v>
      </c>
      <c r="E20" s="9">
        <f>'SwapDesk — Financials · Profit'!E10+'SwapDesk — Financials · Profit'!E17</f>
        <v>2628.5629543355</v>
      </c>
      <c r="F20" s="9">
        <f>'SwapDesk — Financials · Profit'!F10+'SwapDesk — Financials · Profit'!F17</f>
        <v>2648.717016028795</v>
      </c>
      <c r="G20" s="9">
        <f>'SwapDesk — Financials · Profit'!G10+'SwapDesk — Financials · Profit'!G17</f>
        <v>2668.382286864824</v>
      </c>
      <c r="H20" s="9">
        <f>'SwapDesk — Financials · Profit'!H10+'SwapDesk — Financials · Profit'!H17</f>
        <v>2687.571113949434</v>
      </c>
      <c r="I20" s="9">
        <f>'SwapDesk — Financials · Profit'!I10+'SwapDesk — Financials · Profit'!I17</f>
        <v>2706.295520307695</v>
      </c>
      <c r="J20" s="9">
        <f>'SwapDesk — Financials · Profit'!J10+'SwapDesk — Financials · Profit'!J17</f>
        <v>2724.567213679673</v>
      </c>
      <c r="K20" s="9">
        <f>'SwapDesk — Financials · Profit'!K10+'SwapDesk — Financials · Profit'!K17</f>
        <v>2742.3975950708677</v>
      </c>
      <c r="L20" s="9">
        <f>'SwapDesk — Financials · Profit'!L10+'SwapDesk — Financials · Profit'!L17</f>
        <v>2759.797767064295</v>
      </c>
      <c r="M20" s="9">
        <f>'SwapDesk — Financials · Profit'!M10+'SwapDesk — Financials · Profit'!M17</f>
        <v>2776.778541901008</v>
      </c>
      <c r="N20" s="9">
        <f>'SwapDesk — Financials · Profit'!N10+'SwapDesk — Financials · Profit'!N17</f>
        <v>2793.3504493356468</v>
      </c>
      <c r="O20" s="9">
        <f>'SwapDesk — Financials · Profit'!O10+'SwapDesk — Financials · Profit'!O17</f>
        <v>2809.5237442734133</v>
      </c>
      <c r="P20" s="9">
        <f>'SwapDesk — Financials · Profit'!P10+'SwapDesk — Financials · Profit'!P17</f>
        <v>2825.30841419469</v>
      </c>
      <c r="Q20" s="9">
        <f>'SwapDesk — Financials · Profit'!Q10+'SwapDesk — Financials · Profit'!Q17</f>
        <v>2840.7141863733386</v>
      </c>
      <c r="R20" s="9">
        <f>'SwapDesk — Financials · Profit'!R10+'SwapDesk — Financials · Profit'!R17</f>
        <v>2855.7505348945383</v>
      </c>
      <c r="S20" s="9">
        <f>'SwapDesk — Financials · Profit'!S10+'SwapDesk — Financials · Profit'!S17</f>
        <v>2870.426687477854</v>
      </c>
      <c r="T20" s="9">
        <f>'SwapDesk — Financials · Profit'!T10+'SwapDesk — Financials · Profit'!T17</f>
        <v>2884.751632111067</v>
      </c>
      <c r="U20" s="9">
        <f>'SwapDesk — Financials · Profit'!U10+'SwapDesk — Financials · Profit'!U17</f>
        <v>2898.7341235001327</v>
      </c>
      <c r="V20" s="9">
        <f>'SwapDesk — Financials · Profit'!V10+'SwapDesk — Financials · Profit'!V17</f>
        <v>2912.3826893404785</v>
      </c>
      <c r="W20" s="9">
        <f>'SwapDesk — Financials · Profit'!W10+'SwapDesk — Financials · Profit'!W17</f>
        <v>2925.705636414707</v>
      </c>
      <c r="X20" s="9">
        <f>'SwapDesk — Financials · Profit'!X10+'SwapDesk — Financials · Profit'!X17</f>
        <v>2938.71105652162</v>
      </c>
      <c r="Y20" s="9">
        <f>'SwapDesk — Financials · Profit'!Y10+'SwapDesk — Financials · Profit'!Y17</f>
        <v>2951.4068322413377</v>
      </c>
    </row>
    <row r="21">
      <c r="A21" t="inlineStr" s="7">
        <is>
          <t xml:space="preserve">Net cash flow</t>
        </is>
      </c>
      <c r="B21" s="9">
        <f>'SwapDesk — Financials · Profit'!B19-'SwapDesk — Financials · Profit'!B20</f>
        <v>38.950500000000034</v>
      </c>
      <c r="C21" s="9">
        <f>'SwapDesk — Financials · Profit'!C19-'SwapDesk — Financials · Profit'!C20</f>
        <v>115.80630499999995</v>
      </c>
      <c r="D21" s="9">
        <f>'SwapDesk — Financials · Profit'!D19-'SwapDesk — Financials · Profit'!D20</f>
        <v>190.81489944999998</v>
      </c>
      <c r="E21" s="9">
        <f>'SwapDesk — Financials · Profit'!E19-'SwapDesk — Financials · Profit'!E20</f>
        <v>-1735.9774696055</v>
      </c>
      <c r="F21" s="9">
        <f>'SwapDesk — Financials · Profit'!F19-'SwapDesk — Financials · Profit'!F20</f>
        <v>-1664.5257591478953</v>
      </c>
      <c r="G21" s="9">
        <f>'SwapDesk — Financials · Profit'!G19-'SwapDesk — Financials · Profit'!G20</f>
        <v>-1594.7860977314072</v>
      </c>
      <c r="H21" s="9">
        <f>'SwapDesk — Financials · Profit'!H19-'SwapDesk — Financials · Profit'!H20</f>
        <v>-1526.7157539302548</v>
      </c>
      <c r="I21" s="9">
        <f>'SwapDesk — Financials · Profit'!I19-'SwapDesk — Financials · Profit'!I20</f>
        <v>-1460.273105660521</v>
      </c>
      <c r="J21" s="9">
        <f>'SwapDesk — Financials · Profit'!J19-'SwapDesk — Financials · Profit'!J20</f>
        <v>-1395.4176103519158</v>
      </c>
      <c r="K21" s="9">
        <f>'SwapDesk — Financials · Profit'!K19-'SwapDesk — Financials · Profit'!K20</f>
        <v>-1332.1097759453446</v>
      </c>
      <c r="L21" s="9">
        <f>'SwapDesk — Financials · Profit'!L19-'SwapDesk — Financials · Profit'!L20</f>
        <v>-1270.311132692891</v>
      </c>
      <c r="M21" s="9">
        <f>'SwapDesk — Financials · Profit'!M19-'SwapDesk — Financials · Profit'!M20</f>
        <v>-1209.9842057374926</v>
      </c>
      <c r="N21" s="9">
        <f>'SwapDesk — Financials · Profit'!N19-'SwapDesk — Financials · Profit'!N20</f>
        <v>-1151.0924884502483</v>
      </c>
      <c r="O21" s="9">
        <f>'SwapDesk — Financials · Profit'!O19-'SwapDesk — Financials · Profit'!O20</f>
        <v>-1093.600416503924</v>
      </c>
      <c r="P21" s="9">
        <f>'SwapDesk — Financials · Profit'!P19-'SwapDesk — Financials · Profit'!P20</f>
        <v>-1037.4733426618461</v>
      </c>
      <c r="Q21" s="9">
        <f>'SwapDesk — Financials · Profit'!Q19-'SwapDesk — Financials · Profit'!Q20</f>
        <v>-982.6775122619692</v>
      </c>
      <c r="R21" s="9">
        <f>'SwapDesk — Financials · Profit'!R19-'SwapDesk — Financials · Profit'!R20</f>
        <v>-929.1800393764893</v>
      </c>
      <c r="S21" s="9">
        <f>'SwapDesk — Financials · Profit'!S19-'SwapDesk — Financials · Profit'!S20</f>
        <v>-876.9488836279261</v>
      </c>
      <c r="T21" s="9">
        <f>'SwapDesk — Financials · Profit'!T19-'SwapDesk — Financials · Profit'!T20</f>
        <v>-825.9528276431647</v>
      </c>
      <c r="U21" s="9">
        <f>'SwapDesk — Financials · Profit'!U19-'SwapDesk — Financials · Profit'!U20</f>
        <v>-776.1614551274652</v>
      </c>
      <c r="V21" s="9">
        <f>'SwapDesk — Financials · Profit'!V19-'SwapDesk — Financials · Profit'!V20</f>
        <v>-727.5451295409648</v>
      </c>
      <c r="W21" s="9">
        <f>'SwapDesk — Financials · Profit'!W19-'SwapDesk — Financials · Profit'!W20</f>
        <v>-680.0749733607126</v>
      </c>
      <c r="X21" s="9">
        <f>'SwapDesk — Financials · Profit'!X19-'SwapDesk — Financials · Profit'!X20</f>
        <v>-633.7228479117489</v>
      </c>
      <c r="Y21" s="9">
        <f>'SwapDesk — Financials · Profit'!Y19-'SwapDesk — Financials · Profit'!Y20</f>
        <v>-588.4613337512164</v>
      </c>
    </row>
    <row r="22">
      <c r="A22" t="inlineStr" s="7">
        <is>
          <t xml:space="preserve">Ending cash</t>
        </is>
      </c>
      <c r="B22" s="9">
        <f>'Model inputs'!K14+'SwapDesk — Financials · Profit'!B21</f>
        <v>15038.9505</v>
      </c>
      <c r="C22" s="9">
        <f>'SwapDesk — Financials · Profit'!B22+'SwapDesk — Financials · Profit'!C21</f>
        <v>15154.756805</v>
      </c>
      <c r="D22" s="9">
        <f>'SwapDesk — Financials · Profit'!C22+'SwapDesk — Financials · Profit'!D21</f>
        <v>15345.571704450002</v>
      </c>
      <c r="E22" s="9">
        <f>'SwapDesk — Financials · Profit'!D22+'SwapDesk — Financials · Profit'!E21</f>
        <v>13609.594234844502</v>
      </c>
      <c r="F22" s="9">
        <f>'SwapDesk — Financials · Profit'!E22+'SwapDesk — Financials · Profit'!F21</f>
        <v>11945.068475696607</v>
      </c>
      <c r="G22" s="9">
        <f>'SwapDesk — Financials · Profit'!F22+'SwapDesk — Financials · Profit'!G21</f>
        <v>10350.2823779652</v>
      </c>
      <c r="H22" s="9">
        <f>'SwapDesk — Financials · Profit'!G22+'SwapDesk — Financials · Profit'!H21</f>
        <v>8823.566624034946</v>
      </c>
      <c r="I22" s="9">
        <f>'SwapDesk — Financials · Profit'!H22+'SwapDesk — Financials · Profit'!I21</f>
        <v>7363.293518374425</v>
      </c>
      <c r="J22" s="9">
        <f>'SwapDesk — Financials · Profit'!I22+'SwapDesk — Financials · Profit'!J21</f>
        <v>5967.875908022509</v>
      </c>
      <c r="K22" s="9">
        <f>'SwapDesk — Financials · Profit'!J22+'SwapDesk — Financials · Profit'!K21</f>
        <v>4635.766132077164</v>
      </c>
      <c r="L22" s="9">
        <f>'SwapDesk — Financials · Profit'!K22+'SwapDesk — Financials · Profit'!L21</f>
        <v>3365.454999384273</v>
      </c>
      <c r="M22" s="9">
        <f>'SwapDesk — Financials · Profit'!L22+'SwapDesk — Financials · Profit'!M21</f>
        <v>2155.4707936467803</v>
      </c>
      <c r="N22" s="9">
        <f>'SwapDesk — Financials · Profit'!M22+'SwapDesk — Financials · Profit'!N21</f>
        <v>1004.378305196532</v>
      </c>
      <c r="O22" s="9">
        <f>'SwapDesk — Financials · Profit'!N22+'SwapDesk — Financials · Profit'!O21</f>
        <v>-89.22211130739197</v>
      </c>
      <c r="P22" s="9">
        <f>'SwapDesk — Financials · Profit'!O22+'SwapDesk — Financials · Profit'!P21</f>
        <v>-1126.695453969238</v>
      </c>
      <c r="Q22" s="9">
        <f>'SwapDesk — Financials · Profit'!P22+'SwapDesk — Financials · Profit'!Q21</f>
        <v>-2109.372966231207</v>
      </c>
      <c r="R22" s="9">
        <f>'SwapDesk — Financials · Profit'!Q22+'SwapDesk — Financials · Profit'!R21</f>
        <v>-3038.5530056076964</v>
      </c>
      <c r="S22" s="9">
        <f>'SwapDesk — Financials · Profit'!R22+'SwapDesk — Financials · Profit'!S21</f>
        <v>-3915.5018892356225</v>
      </c>
      <c r="T22" s="9">
        <f>'SwapDesk — Financials · Profit'!S22+'SwapDesk — Financials · Profit'!T21</f>
        <v>-4741.454716878787</v>
      </c>
      <c r="U22" s="9">
        <f>'SwapDesk — Financials · Profit'!T22+'SwapDesk — Financials · Profit'!U21</f>
        <v>-5517.616172006252</v>
      </c>
      <c r="V22" s="9">
        <f>'SwapDesk — Financials · Profit'!U22+'SwapDesk — Financials · Profit'!V21</f>
        <v>-6245.161301547217</v>
      </c>
      <c r="W22" s="9">
        <f>'SwapDesk — Financials · Profit'!V22+'SwapDesk — Financials · Profit'!W21</f>
        <v>-6925.236274907929</v>
      </c>
      <c r="X22" s="9">
        <f>'SwapDesk — Financials · Profit'!W22+'SwapDesk — Financials · Profit'!X21</f>
        <v>-7558.959122819679</v>
      </c>
      <c r="Y22" s="9">
        <f>'SwapDesk — Financials · Profit'!X22+'SwapDesk — Financials · Profit'!Y21</f>
        <v>-8147.420456570895</v>
      </c>
    </row>
    <row r="23">
      <c r="A23" t="inlineStr" s="7">
        <is>
          <t xml:space="preserve">Funding shortfall</t>
        </is>
      </c>
      <c r="B23" s="9">
        <f>MAX(-'SwapDesk — Financials · Profit'!B22,0)</f>
        <v>0</v>
      </c>
      <c r="C23" s="9">
        <f>MAX(-'SwapDesk — Financials · Profit'!C22,0)</f>
        <v>0</v>
      </c>
      <c r="D23" s="9">
        <f>MAX(-'SwapDesk — Financials · Profit'!D22,0)</f>
        <v>0</v>
      </c>
      <c r="E23" s="9">
        <f>MAX(-'SwapDesk — Financials · Profit'!E22,0)</f>
        <v>0</v>
      </c>
      <c r="F23" s="9">
        <f>MAX(-'SwapDesk — Financials · Profit'!F22,0)</f>
        <v>0</v>
      </c>
      <c r="G23" s="9">
        <f>MAX(-'SwapDesk — Financials · Profit'!G22,0)</f>
        <v>0</v>
      </c>
      <c r="H23" s="9">
        <f>MAX(-'SwapDesk — Financials · Profit'!H22,0)</f>
        <v>0</v>
      </c>
      <c r="I23" s="9">
        <f>MAX(-'SwapDesk — Financials · Profit'!I22,0)</f>
        <v>0</v>
      </c>
      <c r="J23" s="9">
        <f>MAX(-'SwapDesk — Financials · Profit'!J22,0)</f>
        <v>0</v>
      </c>
      <c r="K23" s="9">
        <f>MAX(-'SwapDesk — Financials · Profit'!K22,0)</f>
        <v>0</v>
      </c>
      <c r="L23" s="9">
        <f>MAX(-'SwapDesk — Financials · Profit'!L22,0)</f>
        <v>0</v>
      </c>
      <c r="M23" s="9">
        <f>MAX(-'SwapDesk — Financials · Profit'!M22,0)</f>
        <v>0</v>
      </c>
      <c r="N23" s="9">
        <f>MAX(-'SwapDesk — Financials · Profit'!N22,0)</f>
        <v>0</v>
      </c>
      <c r="O23" s="9">
        <f>MAX(-'SwapDesk — Financials · Profit'!O22,0)</f>
        <v>89.22211130739197</v>
      </c>
      <c r="P23" s="9">
        <f>MAX(-'SwapDesk — Financials · Profit'!P22,0)</f>
        <v>1126.695453969238</v>
      </c>
      <c r="Q23" s="9">
        <f>MAX(-'SwapDesk — Financials · Profit'!Q22,0)</f>
        <v>2109.372966231207</v>
      </c>
      <c r="R23" s="9">
        <f>MAX(-'SwapDesk — Financials · Profit'!R22,0)</f>
        <v>3038.5530056076964</v>
      </c>
      <c r="S23" s="9">
        <f>MAX(-'SwapDesk — Financials · Profit'!S22,0)</f>
        <v>3915.5018892356225</v>
      </c>
      <c r="T23" s="9">
        <f>MAX(-'SwapDesk — Financials · Profit'!T22,0)</f>
        <v>4741.454716878787</v>
      </c>
      <c r="U23" s="9">
        <f>MAX(-'SwapDesk — Financials · Profit'!U22,0)</f>
        <v>5517.616172006252</v>
      </c>
      <c r="V23" s="9">
        <f>MAX(-'SwapDesk — Financials · Profit'!V22,0)</f>
        <v>6245.161301547217</v>
      </c>
      <c r="W23" s="9">
        <f>MAX(-'SwapDesk — Financials · Profit'!W22,0)</f>
        <v>6925.236274907929</v>
      </c>
      <c r="X23" s="9">
        <f>MAX(-'SwapDesk — Financials · Profit'!X22,0)</f>
        <v>7558.959122819679</v>
      </c>
      <c r="Y23" s="9">
        <f>MAX(-'SwapDesk — Financials · Profit'!Y22,0)</f>
        <v>8147.420456570895</v>
      </c>
    </row>
    <row r="24">
      <c r="A24" t="inlineStr" s="7">
        <is>
          <t xml:space="preserve">Cash runway at current burn</t>
        </is>
      </c>
      <c r="B24" t="str" s="20">
        <f>IF(IF(IF(ISERROR('SwapDesk — Financials · Profit'!B21&lt;0),'SwapDesk — Financials · Profit'!B21&lt;0,IF('SwapDesk — Financials · Profit'!B21="","",'SwapDesk — Financials · Profit'!B21&lt;0))="",FALSE,IF(ISERROR('SwapDesk — Financials · Profit'!B21&lt;0),'SwapDesk — Financials · Profit'!B21&lt;0,IF('SwapDesk — Financials · Profit'!B21="","",'SwapDesk — Financials · Profit'!B21&lt;0))),MAX('SwapDesk — Financials · Profit'!B22,0)/-'SwapDesk — Financials · Profit'!B21,"")</f>
        <v/>
      </c>
      <c r="C24" t="str" s="20">
        <f>IF(IF(IF(ISERROR('SwapDesk — Financials · Profit'!C21&lt;0),'SwapDesk — Financials · Profit'!C21&lt;0,IF('SwapDesk — Financials · Profit'!C21="","",'SwapDesk — Financials · Profit'!C21&lt;0))="",FALSE,IF(ISERROR('SwapDesk — Financials · Profit'!C21&lt;0),'SwapDesk — Financials · Profit'!C21&lt;0,IF('SwapDesk — Financials · Profit'!C21="","",'SwapDesk — Financials · Profit'!C21&lt;0))),MAX('SwapDesk — Financials · Profit'!C22,0)/-'SwapDesk — Financials · Profit'!C21,"")</f>
        <v/>
      </c>
      <c r="D24" t="str" s="20">
        <f>IF(IF(IF(ISERROR('SwapDesk — Financials · Profit'!D21&lt;0),'SwapDesk — Financials · Profit'!D21&lt;0,IF('SwapDesk — Financials · Profit'!D21="","",'SwapDesk — Financials · Profit'!D21&lt;0))="",FALSE,IF(ISERROR('SwapDesk — Financials · Profit'!D21&lt;0),'SwapDesk — Financials · Profit'!D21&lt;0,IF('SwapDesk — Financials · Profit'!D21="","",'SwapDesk — Financials · Profit'!D21&lt;0))),MAX('SwapDesk — Financials · Profit'!D22,0)/-'SwapDesk — Financials · Profit'!D21,"")</f>
        <v/>
      </c>
      <c r="E24" s="20">
        <f>IF(IF(IF(ISERROR('SwapDesk — Financials · Profit'!E21&lt;0),'SwapDesk — Financials · Profit'!E21&lt;0,IF('SwapDesk — Financials · Profit'!E21="","",'SwapDesk — Financials · Profit'!E21&lt;0))="",FALSE,IF(ISERROR('SwapDesk — Financials · Profit'!E21&lt;0),'SwapDesk — Financials · Profit'!E21&lt;0,IF('SwapDesk — Financials · Profit'!E21="","",'SwapDesk — Financials · Profit'!E21&lt;0))),MAX('SwapDesk — Financials · Profit'!E22,0)/-'SwapDesk — Financials · Profit'!E21,"")</f>
        <v>7.839729762124895</v>
      </c>
      <c r="F24" s="20">
        <f>IF(IF(IF(ISERROR('SwapDesk — Financials · Profit'!F21&lt;0),'SwapDesk — Financials · Profit'!F21&lt;0,IF('SwapDesk — Financials · Profit'!F21="","",'SwapDesk — Financials · Profit'!F21&lt;0))="",FALSE,IF(ISERROR('SwapDesk — Financials · Profit'!F21&lt;0),'SwapDesk — Financials · Profit'!F21&lt;0,IF('SwapDesk — Financials · Profit'!F21="","",'SwapDesk — Financials · Profit'!F21&lt;0))),MAX('SwapDesk — Financials · Profit'!F22,0)/-'SwapDesk — Financials · Profit'!F21,"")</f>
        <v>7.176259309925928</v>
      </c>
      <c r="G24" s="20">
        <f>IF(IF(IF(ISERROR('SwapDesk — Financials · Profit'!G21&lt;0),'SwapDesk — Financials · Profit'!G21&lt;0,IF('SwapDesk — Financials · Profit'!G21="","",'SwapDesk — Financials · Profit'!G21&lt;0))="",FALSE,IF(ISERROR('SwapDesk — Financials · Profit'!G21&lt;0),'SwapDesk — Financials · Profit'!G21&lt;0,IF('SwapDesk — Financials · Profit'!G21="","",'SwapDesk — Financials · Profit'!G21&lt;0))),MAX('SwapDesk — Financials · Profit'!G22,0)/-'SwapDesk — Financials · Profit'!G21,"")</f>
        <v>6.490075623739472</v>
      </c>
      <c r="H24" s="20">
        <f>IF(IF(IF(ISERROR('SwapDesk — Financials · Profit'!H21&lt;0),'SwapDesk — Financials · Profit'!H21&lt;0,IF('SwapDesk — Financials · Profit'!H21="","",'SwapDesk — Financials · Profit'!H21&lt;0))="",FALSE,IF(ISERROR('SwapDesk — Financials · Profit'!H21&lt;0),'SwapDesk — Financials · Profit'!H21&lt;0,IF('SwapDesk — Financials · Profit'!H21="","",'SwapDesk — Financials · Profit'!H21&lt;0))),MAX('SwapDesk — Financials · Profit'!H22,0)/-'SwapDesk — Financials · Profit'!H21,"")</f>
        <v>5.779442965280382</v>
      </c>
      <c r="I24" s="20">
        <f>IF(IF(IF(ISERROR('SwapDesk — Financials · Profit'!I21&lt;0),'SwapDesk — Financials · Profit'!I21&lt;0,IF('SwapDesk — Financials · Profit'!I21="","",'SwapDesk — Financials · Profit'!I21&lt;0))="",FALSE,IF(ISERROR('SwapDesk — Financials · Profit'!I21&lt;0),'SwapDesk — Financials · Profit'!I21&lt;0,IF('SwapDesk — Financials · Profit'!I21="","",'SwapDesk — Financials · Profit'!I21&lt;0))),MAX('SwapDesk — Financials · Profit'!I22,0)/-'SwapDesk — Financials · Profit'!I21,"")</f>
        <v>5.042408498678614</v>
      </c>
      <c r="J24" s="20">
        <f>IF(IF(IF(ISERROR('SwapDesk — Financials · Profit'!J21&lt;0),'SwapDesk — Financials · Profit'!J21&lt;0,IF('SwapDesk — Financials · Profit'!J21="","",'SwapDesk — Financials · Profit'!J21&lt;0))="",FALSE,IF(ISERROR('SwapDesk — Financials · Profit'!J21&lt;0),'SwapDesk — Financials · Profit'!J21&lt;0,IF('SwapDesk — Financials · Profit'!J21="","",'SwapDesk — Financials · Profit'!J21&lt;0))),MAX('SwapDesk — Financials · Profit'!J22,0)/-'SwapDesk — Financials · Profit'!J21,"")</f>
        <v>4.276766943279043</v>
      </c>
      <c r="K24" s="20">
        <f>IF(IF(IF(ISERROR('SwapDesk — Financials · Profit'!K21&lt;0),'SwapDesk — Financials · Profit'!K21&lt;0,IF('SwapDesk — Financials · Profit'!K21="","",'SwapDesk — Financials · Profit'!K21&lt;0))="",FALSE,IF(ISERROR('SwapDesk — Financials · Profit'!K21&lt;0),'SwapDesk — Financials · Profit'!K21&lt;0,IF('SwapDesk — Financials · Profit'!K21="","",'SwapDesk — Financials · Profit'!K21&lt;0))),MAX('SwapDesk — Financials · Profit'!K22,0)/-'SwapDesk — Financials · Profit'!K21,"")</f>
        <v>3.480018100450729</v>
      </c>
      <c r="L24" s="20">
        <f>IF(IF(IF(ISERROR('SwapDesk — Financials · Profit'!L21&lt;0),'SwapDesk — Financials · Profit'!L21&lt;0,IF('SwapDesk — Financials · Profit'!L21="","",'SwapDesk — Financials · Profit'!L21&lt;0))="",FALSE,IF(ISERROR('SwapDesk — Financials · Profit'!L21&lt;0),'SwapDesk — Financials · Profit'!L21&lt;0,IF('SwapDesk — Financials · Profit'!L21="","",'SwapDesk — Financials · Profit'!L21&lt;0))),MAX('SwapDesk — Financials · Profit'!L22,0)/-'SwapDesk — Financials · Profit'!L21,"")</f>
        <v>2.6493155202457803</v>
      </c>
      <c r="M24" s="20">
        <f>IF(IF(IF(ISERROR('SwapDesk — Financials · Profit'!M21&lt;0),'SwapDesk — Financials · Profit'!M21&lt;0,IF('SwapDesk — Financials · Profit'!M21="","",'SwapDesk — Financials · Profit'!M21&lt;0))="",FALSE,IF(ISERROR('SwapDesk — Financials · Profit'!M21&lt;0),'SwapDesk — Financials · Profit'!M21&lt;0,IF('SwapDesk — Financials · Profit'!M21="","",'SwapDesk — Financials · Profit'!M21&lt;0))),MAX('SwapDesk — Financials · Profit'!M22,0)/-'SwapDesk — Financials · Profit'!M21,"")</f>
        <v>1.781404074058147</v>
      </c>
      <c r="N24" s="20">
        <f>IF(IF(IF(ISERROR('SwapDesk — Financials · Profit'!N21&lt;0),'SwapDesk — Financials · Profit'!N21&lt;0,IF('SwapDesk — Financials · Profit'!N21="","",'SwapDesk — Financials · Profit'!N21&lt;0))="",FALSE,IF(ISERROR('SwapDesk — Financials · Profit'!N21&lt;0),'SwapDesk — Financials · Profit'!N21&lt;0,IF('SwapDesk — Financials · Profit'!N21="","",'SwapDesk — Financials · Profit'!N21&lt;0))),MAX('SwapDesk — Financials · Profit'!N22,0)/-'SwapDesk — Financials · Profit'!N21,"")</f>
        <v>0.8725435317093918</v>
      </c>
      <c r="O24" s="20">
        <f>IF(IF(IF(ISERROR('SwapDesk — Financials · Profit'!O21&lt;0),'SwapDesk — Financials · Profit'!O21&lt;0,IF('SwapDesk — Financials · Profit'!O21="","",'SwapDesk — Financials · Profit'!O21&lt;0))="",FALSE,IF(ISERROR('SwapDesk — Financials · Profit'!O21&lt;0),'SwapDesk — Financials · Profit'!O21&lt;0,IF('SwapDesk — Financials · Profit'!O21="","",'SwapDesk — Financials · Profit'!O21&lt;0))),MAX('SwapDesk — Financials · Profit'!O22,0)/-'SwapDesk — Financials · Profit'!O21,"")</f>
        <v>0</v>
      </c>
      <c r="P24" s="20">
        <f>IF(IF(IF(ISERROR('SwapDesk — Financials · Profit'!P21&lt;0),'SwapDesk — Financials · Profit'!P21&lt;0,IF('SwapDesk — Financials · Profit'!P21="","",'SwapDesk — Financials · Profit'!P21&lt;0))="",FALSE,IF(ISERROR('SwapDesk — Financials · Profit'!P21&lt;0),'SwapDesk — Financials · Profit'!P21&lt;0,IF('SwapDesk — Financials · Profit'!P21="","",'SwapDesk — Financials · Profit'!P21&lt;0))),MAX('SwapDesk — Financials · Profit'!P22,0)/-'SwapDesk — Financials · Profit'!P21,"")</f>
        <v>0</v>
      </c>
      <c r="Q24" s="20">
        <f>IF(IF(IF(ISERROR('SwapDesk — Financials · Profit'!Q21&lt;0),'SwapDesk — Financials · Profit'!Q21&lt;0,IF('SwapDesk — Financials · Profit'!Q21="","",'SwapDesk — Financials · Profit'!Q21&lt;0))="",FALSE,IF(ISERROR('SwapDesk — Financials · Profit'!Q21&lt;0),'SwapDesk — Financials · Profit'!Q21&lt;0,IF('SwapDesk — Financials · Profit'!Q21="","",'SwapDesk — Financials · Profit'!Q21&lt;0))),MAX('SwapDesk — Financials · Profit'!Q22,0)/-'SwapDesk — Financials · Profit'!Q21,"")</f>
        <v>0</v>
      </c>
      <c r="R24" s="20">
        <f>IF(IF(IF(ISERROR('SwapDesk — Financials · Profit'!R21&lt;0),'SwapDesk — Financials · Profit'!R21&lt;0,IF('SwapDesk — Financials · Profit'!R21="","",'SwapDesk — Financials · Profit'!R21&lt;0))="",FALSE,IF(ISERROR('SwapDesk — Financials · Profit'!R21&lt;0),'SwapDesk — Financials · Profit'!R21&lt;0,IF('SwapDesk — Financials · Profit'!R21="","",'SwapDesk — Financials · Profit'!R21&lt;0))),MAX('SwapDesk — Financials · Profit'!R22,0)/-'SwapDesk — Financials · Profit'!R21,"")</f>
        <v>0</v>
      </c>
      <c r="S24" s="20">
        <f>IF(IF(IF(ISERROR('SwapDesk — Financials · Profit'!S21&lt;0),'SwapDesk — Financials · Profit'!S21&lt;0,IF('SwapDesk — Financials · Profit'!S21="","",'SwapDesk — Financials · Profit'!S21&lt;0))="",FALSE,IF(ISERROR('SwapDesk — Financials · Profit'!S21&lt;0),'SwapDesk — Financials · Profit'!S21&lt;0,IF('SwapDesk — Financials · Profit'!S21="","",'SwapDesk — Financials · Profit'!S21&lt;0))),MAX('SwapDesk — Financials · Profit'!S22,0)/-'SwapDesk — Financials · Profit'!S21,"")</f>
        <v>0</v>
      </c>
      <c r="T24" s="20">
        <f>IF(IF(IF(ISERROR('SwapDesk — Financials · Profit'!T21&lt;0),'SwapDesk — Financials · Profit'!T21&lt;0,IF('SwapDesk — Financials · Profit'!T21="","",'SwapDesk — Financials · Profit'!T21&lt;0))="",FALSE,IF(ISERROR('SwapDesk — Financials · Profit'!T21&lt;0),'SwapDesk — Financials · Profit'!T21&lt;0,IF('SwapDesk — Financials · Profit'!T21="","",'SwapDesk — Financials · Profit'!T21&lt;0))),MAX('SwapDesk — Financials · Profit'!T22,0)/-'SwapDesk — Financials · Profit'!T21,"")</f>
        <v>0</v>
      </c>
      <c r="U24" s="20">
        <f>IF(IF(IF(ISERROR('SwapDesk — Financials · Profit'!U21&lt;0),'SwapDesk — Financials · Profit'!U21&lt;0,IF('SwapDesk — Financials · Profit'!U21="","",'SwapDesk — Financials · Profit'!U21&lt;0))="",FALSE,IF(ISERROR('SwapDesk — Financials · Profit'!U21&lt;0),'SwapDesk — Financials · Profit'!U21&lt;0,IF('SwapDesk — Financials · Profit'!U21="","",'SwapDesk — Financials · Profit'!U21&lt;0))),MAX('SwapDesk — Financials · Profit'!U22,0)/-'SwapDesk — Financials · Profit'!U21,"")</f>
        <v>0</v>
      </c>
      <c r="V24" s="20">
        <f>IF(IF(IF(ISERROR('SwapDesk — Financials · Profit'!V21&lt;0),'SwapDesk — Financials · Profit'!V21&lt;0,IF('SwapDesk — Financials · Profit'!V21="","",'SwapDesk — Financials · Profit'!V21&lt;0))="",FALSE,IF(ISERROR('SwapDesk — Financials · Profit'!V21&lt;0),'SwapDesk — Financials · Profit'!V21&lt;0,IF('SwapDesk — Financials · Profit'!V21="","",'SwapDesk — Financials · Profit'!V21&lt;0))),MAX('SwapDesk — Financials · Profit'!V22,0)/-'SwapDesk — Financials · Profit'!V21,"")</f>
        <v>0</v>
      </c>
      <c r="W24" s="20">
        <f>IF(IF(IF(ISERROR('SwapDesk — Financials · Profit'!W21&lt;0),'SwapDesk — Financials · Profit'!W21&lt;0,IF('SwapDesk — Financials · Profit'!W21="","",'SwapDesk — Financials · Profit'!W21&lt;0))="",FALSE,IF(ISERROR('SwapDesk — Financials · Profit'!W21&lt;0),'SwapDesk — Financials · Profit'!W21&lt;0,IF('SwapDesk — Financials · Profit'!W21="","",'SwapDesk — Financials · Profit'!W21&lt;0))),MAX('SwapDesk — Financials · Profit'!W22,0)/-'SwapDesk — Financials · Profit'!W21,"")</f>
        <v>0</v>
      </c>
      <c r="X24" s="20">
        <f>IF(IF(IF(ISERROR('SwapDesk — Financials · Profit'!X21&lt;0),'SwapDesk — Financials · Profit'!X21&lt;0,IF('SwapDesk — Financials · Profit'!X21="","",'SwapDesk — Financials · Profit'!X21&lt;0))="",FALSE,IF(ISERROR('SwapDesk — Financials · Profit'!X21&lt;0),'SwapDesk — Financials · Profit'!X21&lt;0,IF('SwapDesk — Financials · Profit'!X21="","",'SwapDesk — Financials · Profit'!X21&lt;0))),MAX('SwapDesk — Financials · Profit'!X22,0)/-'SwapDesk — Financials · Profit'!X21,"")</f>
        <v>0</v>
      </c>
      <c r="Y24" s="20">
        <f>IF(IF(IF(ISERROR('SwapDesk — Financials · Profit'!Y21&lt;0),'SwapDesk — Financials · Profit'!Y21&lt;0,IF('SwapDesk — Financials · Profit'!Y21="","",'SwapDesk — Financials · Profit'!Y21&lt;0))="",FALSE,IF(ISERROR('SwapDesk — Financials · Profit'!Y21&lt;0),'SwapDesk — Financials · Profit'!Y21&lt;0,IF('SwapDesk — Financials · Profit'!Y21="","",'SwapDesk — Financials · Profit'!Y21&lt;0))),MAX('SwapDesk — Financials · Profit'!Y22,0)/-'SwapDesk — Financials · Profit'!Y21,"")</f>
        <v>0</v>
      </c>
    </row>
    <row r="25">
      <c r="A25" t="inlineStr" s="7">
        <is>
          <t xml:space="preserve">Inference cost per verified arrangement</t>
        </is>
      </c>
      <c r="B25" s="9">
        <f>IFERROR('SwapDesk — Financials · Profit'!B6/'SwapDesk — Operations · Merchan'!C20,"")</f>
        <v>0.05307692307692306</v>
      </c>
      <c r="C25" s="9">
        <f>IFERROR('SwapDesk — Financials · Profit'!C6/'SwapDesk — Operations · Merchan'!D20,"")</f>
        <v>0.05307692307692307</v>
      </c>
      <c r="D25" s="9">
        <f>IFERROR('SwapDesk — Financials · Profit'!D6/'SwapDesk — Operations · Merchan'!E20,"")</f>
        <v>0.05307692307692308</v>
      </c>
      <c r="E25" s="9">
        <f>IFERROR('SwapDesk — Financials · Profit'!E6/'SwapDesk — Operations · Merchan'!F20,"")</f>
        <v>0.05307692307692308</v>
      </c>
      <c r="F25" s="9">
        <f>IFERROR('SwapDesk — Financials · Profit'!F6/'SwapDesk — Operations · Merchan'!G20,"")</f>
        <v>0.05307692307692308</v>
      </c>
      <c r="G25" s="9">
        <f>IFERROR('SwapDesk — Financials · Profit'!G6/'SwapDesk — Operations · Merchan'!H20,"")</f>
        <v>0.05307692307692308</v>
      </c>
      <c r="H25" s="9">
        <f>IFERROR('SwapDesk — Financials · Profit'!H6/'SwapDesk — Operations · Merchan'!I20,"")</f>
        <v>0.05307692307692308</v>
      </c>
      <c r="I25" s="9">
        <f>IFERROR('SwapDesk — Financials · Profit'!I6/'SwapDesk — Operations · Merchan'!J20,"")</f>
        <v>0.05307692307692308</v>
      </c>
      <c r="J25" s="9">
        <f>IFERROR('SwapDesk — Financials · Profit'!J6/'SwapDesk — Operations · Merchan'!K20,"")</f>
        <v>0.05307692307692306</v>
      </c>
      <c r="K25" s="9">
        <f>IFERROR('SwapDesk — Financials · Profit'!K6/'SwapDesk — Operations · Merchan'!L20,"")</f>
        <v>0.05307692307692306</v>
      </c>
      <c r="L25" s="9">
        <f>IFERROR('SwapDesk — Financials · Profit'!L6/'SwapDesk — Operations · Merchan'!M20,"")</f>
        <v>0.053076923076923084</v>
      </c>
      <c r="M25" s="9">
        <f>IFERROR('SwapDesk — Financials · Profit'!M6/'SwapDesk — Operations · Merchan'!N20,"")</f>
        <v>0.05307692307692308</v>
      </c>
      <c r="N25" s="9">
        <f>IFERROR('SwapDesk — Financials · Profit'!N6/'SwapDesk — Operations · Merchan'!O20,"")</f>
        <v>0.05307692307692307</v>
      </c>
      <c r="O25" s="9">
        <f>IFERROR('SwapDesk — Financials · Profit'!O6/'SwapDesk — Operations · Merchan'!P20,"")</f>
        <v>0.05307692307692307</v>
      </c>
      <c r="P25" s="9">
        <f>IFERROR('SwapDesk — Financials · Profit'!P6/'SwapDesk — Operations · Merchan'!Q20,"")</f>
        <v>0.05307692307692307</v>
      </c>
      <c r="Q25" s="9">
        <f>IFERROR('SwapDesk — Financials · Profit'!Q6/'SwapDesk — Operations · Merchan'!R20,"")</f>
        <v>0.05307692307692307</v>
      </c>
      <c r="R25" s="9">
        <f>IFERROR('SwapDesk — Financials · Profit'!R6/'SwapDesk — Operations · Merchan'!S20,"")</f>
        <v>0.05307692307692306</v>
      </c>
      <c r="S25" s="9">
        <f>IFERROR('SwapDesk — Financials · Profit'!S6/'SwapDesk — Operations · Merchan'!T20,"")</f>
        <v>0.05307692307692307</v>
      </c>
      <c r="T25" s="9">
        <f>IFERROR('SwapDesk — Financials · Profit'!T6/'SwapDesk — Operations · Merchan'!U20,"")</f>
        <v>0.05307692307692308</v>
      </c>
      <c r="U25" s="9">
        <f>IFERROR('SwapDesk — Financials · Profit'!U6/'SwapDesk — Operations · Merchan'!V20,"")</f>
        <v>0.05307692307692308</v>
      </c>
      <c r="V25" s="9">
        <f>IFERROR('SwapDesk — Financials · Profit'!V6/'SwapDesk — Operations · Merchan'!W20,"")</f>
        <v>0.05307692307692307</v>
      </c>
      <c r="W25" s="9">
        <f>IFERROR('SwapDesk — Financials · Profit'!W6/'SwapDesk — Operations · Merchan'!X20,"")</f>
        <v>0.05307692307692306</v>
      </c>
      <c r="X25" s="9">
        <f>IFERROR('SwapDesk — Financials · Profit'!X6/'SwapDesk — Operations · Merchan'!Y20,"")</f>
        <v>0.05307692307692306</v>
      </c>
      <c r="Y25" s="9">
        <f>IFERROR('SwapDesk — Financials · Profit'!Y6/'SwapDesk — Operations · Merchan'!Z20,"")</f>
        <v>0.05307692307692307</v>
      </c>
    </row>
    <row r="26">
      <c r="A26" t="inlineStr" s="5">
        <is>
          <t xml:space="preserve">Gross profit per store</t>
        </is>
      </c>
      <c r="B26" s="6">
        <f>IFERROR('SwapDesk — Financials · Profit'!B11/'SwapDesk — Operations · Merchan'!C14,"")</f>
        <v>47.55722021660651</v>
      </c>
      <c r="C26" s="6">
        <f>IFERROR('SwapDesk — Financials · Profit'!C11/'SwapDesk — Operations · Merchan'!D14,"")</f>
        <v>49.247942683066775</v>
      </c>
      <c r="D26" s="6">
        <f>IFERROR('SwapDesk — Financials · Profit'!D11/'SwapDesk — Operations · Merchan'!E14,"")</f>
        <v>50.52854246420173</v>
      </c>
      <c r="E26" s="6">
        <f>IFERROR('SwapDesk — Financials · Profit'!E11/'SwapDesk — Operations · Merchan'!F14,"")</f>
        <v>51.536617115979446</v>
      </c>
      <c r="F26" s="6">
        <f>IFERROR('SwapDesk — Financials · Profit'!F11/'SwapDesk — Operations · Merchan'!G14,"")</f>
        <v>52.35433835204532</v>
      </c>
      <c r="G26" s="6">
        <f>IFERROR('SwapDesk — Financials · Profit'!G11/'SwapDesk — Operations · Merchan'!H14,"")</f>
        <v>53.033806175414576</v>
      </c>
      <c r="H26" s="6">
        <f>IFERROR('SwapDesk — Financials · Profit'!H11/'SwapDesk — Operations · Merchan'!I14,"")</f>
        <v>53.60965194969678</v>
      </c>
      <c r="I26" s="6">
        <f>IFERROR('SwapDesk — Financials · Profit'!I11/'SwapDesk — Operations · Merchan'!J14,"")</f>
        <v>54.105793341797835</v>
      </c>
      <c r="J26" s="6">
        <f>IFERROR('SwapDesk — Financials · Profit'!J11/'SwapDesk — Operations · Merchan'!K14,"")</f>
        <v>54.53927981732392</v>
      </c>
      <c r="K26" s="6">
        <f>IFERROR('SwapDesk — Financials · Profit'!K11/'SwapDesk — Operations · Merchan'!L14,"")</f>
        <v>54.92259276330691</v>
      </c>
      <c r="L26" s="6">
        <f>IFERROR('SwapDesk — Financials · Profit'!L11/'SwapDesk — Operations · Merchan'!M14,"")</f>
        <v>55.26507929418881</v>
      </c>
      <c r="M26" s="6">
        <f>IFERROR('SwapDesk — Financials · Profit'!M11/'SwapDesk — Operations · Merchan'!N14,"")</f>
        <v>55.57387792690942</v>
      </c>
      <c r="N26" s="6">
        <f>IFERROR('SwapDesk — Financials · Profit'!N11/'SwapDesk — Operations · Merchan'!O14,"")</f>
        <v>55.85453449897379</v>
      </c>
      <c r="O26" s="6">
        <f>IFERROR('SwapDesk — Financials · Profit'!O11/'SwapDesk — Operations · Merchan'!P14,"")</f>
        <v>56.111422870281906</v>
      </c>
      <c r="P26" s="6">
        <f>IFERROR('SwapDesk — Financials · Profit'!P11/'SwapDesk — Operations · Merchan'!Q14,"")</f>
        <v>56.34803897310952</v>
      </c>
      <c r="Q26" s="6">
        <f>IFERROR('SwapDesk — Financials · Profit'!Q11/'SwapDesk — Operations · Merchan'!R14,"")</f>
        <v>56.567210567961375</v>
      </c>
      <c r="R26" s="6">
        <f>IFERROR('SwapDesk — Financials · Profit'!R11/'SwapDesk — Operations · Merchan'!S14,"")</f>
        <v>56.77124961130229</v>
      </c>
      <c r="S26" s="6">
        <f>IFERROR('SwapDesk — Financials · Profit'!S11/'SwapDesk — Operations · Merchan'!T14,"")</f>
        <v>56.96206475414044</v>
      </c>
      <c r="T26" s="6">
        <f>IFERROR('SwapDesk — Financials · Profit'!T11/'SwapDesk — Operations · Merchan'!U14,"")</f>
        <v>57.14124563378705</v>
      </c>
      <c r="U26" s="6">
        <f>IFERROR('SwapDesk — Financials · Profit'!U11/'SwapDesk — Operations · Merchan'!V14,"")</f>
        <v>57.310126878749095</v>
      </c>
      <c r="V26" s="6">
        <f>IFERROR('SwapDesk — Financials · Profit'!V11/'SwapDesk — Operations · Merchan'!W14,"")</f>
        <v>57.46983730325817</v>
      </c>
      <c r="W26" s="6">
        <f>IFERROR('SwapDesk — Financials · Profit'!W11/'SwapDesk — Operations · Merchan'!X14,"")</f>
        <v>57.62133814107597</v>
      </c>
      <c r="X26" s="6">
        <f>IFERROR('SwapDesk — Financials · Profit'!X11/'SwapDesk — Operations · Merchan'!Y14,"")</f>
        <v>57.765453065577404</v>
      </c>
      <c r="Y26" s="6">
        <f>IFERROR('SwapDesk — Financials · Profit'!Y11/'SwapDesk — Operations · Merchan'!Z14,"")</f>
        <v>57.90289198349611</v>
      </c>
    </row>
  </sheetData>
  <mergeCells count="1">
    <mergeCell ref="A1:Y1"/>
  </mergeCells>
</worksheet>
</file>

<file path=xl/worksheets/sheet9.xml><?xml version="1.0" encoding="utf-8"?>
<worksheet xmlns="http://schemas.openxmlformats.org/spreadsheetml/2006/main">
  <dimension ref="A1:Y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SwapDesk — Business Plan · Quarterly scenario comparison</t>
        </is>
      </c>
    </row>
    <row r="2" ht="20" customHeight="1">
      <c r="A2" t="inlineStr" s="2">
        <is>
          <t xml:space="preserve">Financial model (4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15">
        <is>
          <t xml:space="preserve">2026-10 &gt; Growth</t>
        </is>
      </c>
      <c r="D4" t="inlineStr" s="15">
        <is>
          <t xml:space="preserve">2026-10 &gt; Bad Reliability</t>
        </is>
      </c>
      <c r="E4" t="inlineStr" s="15">
        <is>
          <t xml:space="preserve">2027-01</t>
        </is>
      </c>
      <c r="F4" t="inlineStr" s="15">
        <is>
          <t xml:space="preserve">2027-01 &gt; Growth</t>
        </is>
      </c>
      <c r="G4" t="inlineStr" s="15">
        <is>
          <t xml:space="preserve">2027-01 &gt; Bad Reliability</t>
        </is>
      </c>
      <c r="H4" t="inlineStr" s="15">
        <is>
          <t xml:space="preserve">2027-04</t>
        </is>
      </c>
      <c r="I4" t="inlineStr" s="15">
        <is>
          <t xml:space="preserve">2027-04 &gt; Growth</t>
        </is>
      </c>
      <c r="J4" t="inlineStr" s="15">
        <is>
          <t xml:space="preserve">2027-04 &gt; Bad Reliability</t>
        </is>
      </c>
      <c r="K4" t="inlineStr" s="15">
        <is>
          <t xml:space="preserve">2027-07</t>
        </is>
      </c>
      <c r="L4" t="inlineStr" s="15">
        <is>
          <t xml:space="preserve">2027-07 &gt; Growth</t>
        </is>
      </c>
      <c r="M4" t="inlineStr" s="15">
        <is>
          <t xml:space="preserve">2027-07 &gt; Bad Reliability</t>
        </is>
      </c>
      <c r="N4" t="inlineStr" s="15">
        <is>
          <t xml:space="preserve">2027-10</t>
        </is>
      </c>
      <c r="O4" t="inlineStr" s="15">
        <is>
          <t xml:space="preserve">2027-10 &gt; Growth</t>
        </is>
      </c>
      <c r="P4" t="inlineStr" s="15">
        <is>
          <t xml:space="preserve">2027-10 &gt; Bad Reliability</t>
        </is>
      </c>
      <c r="Q4" t="inlineStr" s="15">
        <is>
          <t xml:space="preserve">2028-01</t>
        </is>
      </c>
      <c r="R4" t="inlineStr" s="15">
        <is>
          <t xml:space="preserve">2028-01 &gt; Growth</t>
        </is>
      </c>
      <c r="S4" t="inlineStr" s="15">
        <is>
          <t xml:space="preserve">2028-01 &gt; Bad Reliability</t>
        </is>
      </c>
      <c r="T4" t="inlineStr" s="15">
        <is>
          <t xml:space="preserve">2028-04</t>
        </is>
      </c>
      <c r="U4" t="inlineStr" s="15">
        <is>
          <t xml:space="preserve">2028-04 &gt; Growth</t>
        </is>
      </c>
      <c r="V4" t="inlineStr" s="15">
        <is>
          <t xml:space="preserve">2028-04 &gt; Bad Reliability</t>
        </is>
      </c>
      <c r="W4" t="inlineStr" s="15">
        <is>
          <t xml:space="preserve">2028-07</t>
        </is>
      </c>
      <c r="X4" t="inlineStr" s="15">
        <is>
          <t xml:space="preserve">2028-07 &gt; Growth</t>
        </is>
      </c>
      <c r="Y4" t="inlineStr" s="15">
        <is>
          <t xml:space="preserve">2028-07 &gt; Bad Reliability</t>
        </is>
      </c>
    </row>
    <row r="5">
      <c r="A5" t="inlineStr" s="5">
        <is>
          <t xml:space="preserve">Revenue</t>
        </is>
      </c>
      <c r="B5" s="6">
        <f>SUM('SwapDesk — Operations · Merchan'!C38,'SwapDesk — Operations · Merchan'!D38,'SwapDesk — Operations · Merchan'!E38)</f>
        <v>2105.256021</v>
      </c>
      <c r="C5" s="6">
        <f>SUM('Model inputs'!L54,'Model inputs'!M54,'Model inputs'!N54)</f>
        <v>3771.3763217500004</v>
      </c>
      <c r="D5" s="6">
        <f>SUM('Model inputs'!L53,'Model inputs'!M53,'Model inputs'!N53)</f>
        <v>1673.26048</v>
      </c>
      <c r="E5" s="6">
        <f>SUM('SwapDesk — Operations · Merchan'!F38,'SwapDesk — Operations · Merchan'!G38,'SwapDesk — Operations · Merchan'!H38)</f>
        <v>2950.372930744317</v>
      </c>
      <c r="F5" s="6">
        <f>SUM('Model inputs'!O54,'Model inputs'!P54,'Model inputs'!Q54)</f>
        <v>6859.568029098461</v>
      </c>
      <c r="G5" s="6">
        <f>SUM('Model inputs'!O53,'Model inputs'!P53,'Model inputs'!Q53)</f>
        <v>2205.50191659932</v>
      </c>
      <c r="H5" s="6">
        <f>SUM('SwapDesk — Operations · Merchan'!I38,'SwapDesk — Operations · Merchan'!J38,'SwapDesk — Operations · Merchan'!K38)</f>
        <v>3736.027377994111</v>
      </c>
      <c r="I5" s="6">
        <f>SUM('Model inputs'!R54,'Model inputs'!S54,'Model inputs'!T54)</f>
        <v>9793.431487153048</v>
      </c>
      <c r="J5" s="6">
        <f>SUM('Model inputs'!R53,'Model inputs'!S53,'Model inputs'!T53)</f>
        <v>2654.945621892712</v>
      </c>
      <c r="K5" s="6">
        <f>SUM('SwapDesk — Operations · Merchan'!L38,'SwapDesk — Operations · Merchan'!M38,'SwapDesk — Operations · Merchan'!N38)</f>
        <v>4466.568789660442</v>
      </c>
      <c r="L5" s="6">
        <f>SUM('Model inputs'!U54,'Model inputs'!V54,'Model inputs'!W54)</f>
        <v>12580.833059169445</v>
      </c>
      <c r="M5" s="6">
        <f>SUM('Model inputs'!U53,'Model inputs'!V53,'Model inputs'!W53)</f>
        <v>3034.5673558084422</v>
      </c>
      <c r="N5" s="6">
        <f>SUM('SwapDesk — Operations · Merchan'!O38,'SwapDesk — Operations · Merchan'!P38,'SwapDesk — Operations · Merchan'!Q38)</f>
        <v>5146.016360187732</v>
      </c>
      <c r="O5" s="6">
        <f>SUM('Model inputs'!X54,'Model inputs'!Y54,'Model inputs'!Z54)</f>
        <v>15229.230112827529</v>
      </c>
      <c r="P5" s="6">
        <f>SUM('Model inputs'!X53,'Model inputs'!Y53,'Model inputs'!Z53)</f>
        <v>3355.2945471922417</v>
      </c>
      <c r="Q5" s="6">
        <f>SUM('SwapDesk — Operations · Merchan'!R38,'SwapDesk — Operations · Merchan'!S38,'SwapDesk — Operations · Merchan'!T38)</f>
        <v>5778.084973479346</v>
      </c>
      <c r="R5" s="6">
        <f>SUM('Model inputs'!AA54,'Model inputs'!AB54,'Model inputs'!AC54)</f>
        <v>17745.69269602054</v>
      </c>
      <c r="S5" s="6">
        <f>SUM('Model inputs'!AA53,'Model inputs'!AB53,'Model inputs'!AC53)</f>
        <v>3626.331924357446</v>
      </c>
      <c r="T5" s="6">
        <f>SUM('SwapDesk — Operations · Merchan'!U38,'SwapDesk — Operations · Merchan'!V38,'SwapDesk — Operations · Merchan'!W38)</f>
        <v>6366.209032640083</v>
      </c>
      <c r="U5" s="6">
        <f>SUM('Model inputs'!AD54,'Model inputs'!AE54,'Model inputs'!AF54)</f>
        <v>20136.924043277366</v>
      </c>
      <c r="V5" s="6">
        <f>SUM('Model inputs'!AD53,'Model inputs'!AE53,'Model inputs'!AF53)</f>
        <v>3855.435029288503</v>
      </c>
      <c r="W5" s="6">
        <f>SUM('SwapDesk — Operations · Merchan'!X38,'SwapDesk — Operations · Merchan'!Y38,'SwapDesk — Operations · Merchan'!Z38)</f>
        <v>6913.564370153987</v>
      </c>
      <c r="X5" s="6">
        <f>SUM('Model inputs'!AG54,'Model inputs'!AH54,'Model inputs'!AI54)</f>
        <v>22409.279976916467</v>
      </c>
      <c r="Y5" s="6">
        <f>SUM('Model inputs'!AG53,'Model inputs'!AH53,'Model inputs'!AI53)</f>
        <v>4049.1400097377914</v>
      </c>
    </row>
    <row r="6">
      <c r="A6" t="inlineStr" s="7">
        <is>
          <t xml:space="preserve">Gross profit</t>
        </is>
      </c>
      <c r="B6" s="9">
        <f>SUM('SwapDesk — Financials · Profit'!B11,'SwapDesk — Financials · Profit'!C11,'SwapDesk — Financials · Profit'!D11)</f>
        <v>1414.32170445</v>
      </c>
      <c r="C6" s="9">
        <f>SUM('Model inputs'!L31,'Model inputs'!M31,'Model inputs'!N31)</f>
        <v>2792.4121471250005</v>
      </c>
      <c r="D6" s="9">
        <f>SUM('Model inputs'!L30,'Model inputs'!M30,'Model inputs'!N30)</f>
        <v>705.5464248000001</v>
      </c>
      <c r="E6" s="9">
        <f>SUM('SwapDesk — Financials · Profit'!E11,'SwapDesk — Financials · Profit'!F11,'SwapDesk — Financials · Profit'!G11)</f>
        <v>2073.4606735151974</v>
      </c>
      <c r="F6" s="9">
        <f>SUM('Model inputs'!O31,'Model inputs'!P31,'Model inputs'!Q31)</f>
        <v>5267.520209948225</v>
      </c>
      <c r="G6" s="9">
        <f>SUM('Model inputs'!O30,'Model inputs'!P30,'Model inputs'!Q30)</f>
        <v>996.9920561978831</v>
      </c>
      <c r="H6" s="9">
        <f>SUM('SwapDesk — Financials · Profit'!H11,'SwapDesk — Financials · Profit'!I11,'SwapDesk — Financials · Profit'!J11)</f>
        <v>2686.3435300573083</v>
      </c>
      <c r="I6" s="9">
        <f>SUM('Model inputs'!R31,'Model inputs'!S31,'Model inputs'!T31)</f>
        <v>7619.465435475212</v>
      </c>
      <c r="J6" s="9">
        <f>SUM('Model inputs'!R30,'Model inputs'!S30,'Model inputs'!T30)</f>
        <v>1242.6903906367934</v>
      </c>
      <c r="K6" s="9">
        <f>SUM('SwapDesk — Financials · Profit'!K11,'SwapDesk — Financials · Profit'!L11,'SwapDesk — Financials · Profit'!M11)</f>
        <v>3256.3448856242717</v>
      </c>
      <c r="L6" s="9">
        <f>SUM('Model inputs'!U31,'Model inputs'!V31,'Model inputs'!W31)</f>
        <v>9854.498124458853</v>
      </c>
      <c r="M6" s="9">
        <f>SUM('Model inputs'!U30,'Model inputs'!V30,'Model inputs'!W30)</f>
        <v>1449.8742721478009</v>
      </c>
      <c r="N6" s="9">
        <f>SUM('SwapDesk — Financials · Profit'!N11,'SwapDesk — Financials · Profit'!O11,'SwapDesk — Financials · Profit'!P11)</f>
        <v>3786.583752383982</v>
      </c>
      <c r="O6" s="9">
        <f>SUM('Model inputs'!X31,'Model inputs'!Y31,'Model inputs'!Z31)</f>
        <v>11978.545012942726</v>
      </c>
      <c r="P6" s="9">
        <f>SUM('Model inputs'!X30,'Model inputs'!Y30,'Model inputs'!Z30)</f>
        <v>1624.6249908469613</v>
      </c>
      <c r="Q6" s="9">
        <f>SUM('SwapDesk — Financials · Profit'!Q11,'SwapDesk — Financials · Profit'!R11,'SwapDesk — Financials · Profit'!S11)</f>
        <v>4279.943564733616</v>
      </c>
      <c r="R6" s="9">
        <f>SUM('Model inputs'!AA31,'Model inputs'!AB31,'Model inputs'!AC31)</f>
        <v>13997.226349874054</v>
      </c>
      <c r="S6" s="9">
        <f>SUM('Model inputs'!AA30,'Model inputs'!AB30,'Model inputs'!AC30)</f>
        <v>1772.0568480712036</v>
      </c>
      <c r="T6" s="9">
        <f>SUM('SwapDesk — Financials · Profit'!T11,'SwapDesk — Financials · Profit'!U11,'SwapDesk — Financials · Profit'!V11)</f>
        <v>4739.090587688405</v>
      </c>
      <c r="U6" s="9">
        <f>SUM('Model inputs'!AD31,'Model inputs'!AE31,'Model inputs'!AF31)</f>
        <v>15915.87205688244</v>
      </c>
      <c r="V6" s="9">
        <f>SUM('Model inputs'!AD30,'Model inputs'!AE30,'Model inputs'!AF30)</f>
        <v>1896.4719545723763</v>
      </c>
      <c r="W6" s="9">
        <f>SUM('SwapDesk — Financials · Profit'!W11,'SwapDesk — Financials · Profit'!X11,'SwapDesk — Financials · Profit'!Y11)</f>
        <v>5166.4908449763225</v>
      </c>
      <c r="X6" s="9">
        <f>SUM('Model inputs'!AG31,'Model inputs'!AH31,'Model inputs'!AI31)</f>
        <v>17739.537020367497</v>
      </c>
      <c r="Y6" s="9">
        <f>SUM('Model inputs'!AG30,'Model inputs'!AH30,'Model inputs'!AI30)</f>
        <v>2001.4900906363164</v>
      </c>
    </row>
    <row r="7">
      <c r="A7" t="inlineStr" s="7">
        <is>
          <t xml:space="preserve">Operating profit</t>
        </is>
      </c>
      <c r="B7" s="9">
        <f>SUM('SwapDesk — Financials · Profit'!B18,'SwapDesk — Financials · Profit'!C18,'SwapDesk — Financials · Profit'!D18)</f>
        <v>345.57170444999997</v>
      </c>
      <c r="C7" s="9">
        <f>SUM('Model inputs'!L46,'Model inputs'!M46,'Model inputs'!N46)</f>
        <v>486.1621471250005</v>
      </c>
      <c r="D7" s="9">
        <f>SUM('Model inputs'!L45,'Model inputs'!M45,'Model inputs'!N45)</f>
        <v>-363.2035752</v>
      </c>
      <c r="E7" s="9">
        <f>SUM('SwapDesk — Financials · Profit'!E18,'SwapDesk — Financials · Profit'!F18,'SwapDesk — Financials · Profit'!G18)</f>
        <v>-4995.289326484803</v>
      </c>
      <c r="F7" s="9">
        <f>SUM('Model inputs'!O46,'Model inputs'!P46,'Model inputs'!Q46)</f>
        <v>-3038.729790051775</v>
      </c>
      <c r="G7" s="9">
        <f>SUM('Model inputs'!O45,'Model inputs'!P45,'Model inputs'!Q45)</f>
        <v>-6071.757943802117</v>
      </c>
      <c r="H7" s="9">
        <f>SUM('SwapDesk — Financials · Profit'!H18,'SwapDesk — Financials · Profit'!I18,'SwapDesk — Financials · Profit'!J18)</f>
        <v>-4382.406469942692</v>
      </c>
      <c r="I7" s="9">
        <f>SUM('Model inputs'!R46,'Model inputs'!S46,'Model inputs'!T46)</f>
        <v>-686.784564524788</v>
      </c>
      <c r="J7" s="9">
        <f>SUM('Model inputs'!R45,'Model inputs'!S45,'Model inputs'!T45)</f>
        <v>-5826.059609363207</v>
      </c>
      <c r="K7" s="9">
        <f>SUM('SwapDesk — Financials · Profit'!K18,'SwapDesk — Financials · Profit'!L18,'SwapDesk — Financials · Profit'!M18)</f>
        <v>-3812.4051143757283</v>
      </c>
      <c r="L7" s="9">
        <f>SUM('Model inputs'!U46,'Model inputs'!V46,'Model inputs'!W46)</f>
        <v>1548.2481244588516</v>
      </c>
      <c r="M7" s="9">
        <f>SUM('Model inputs'!U45,'Model inputs'!V45,'Model inputs'!W45)</f>
        <v>-5618.875727852199</v>
      </c>
      <c r="N7" s="9">
        <f>SUM('SwapDesk — Financials · Profit'!N18,'SwapDesk — Financials · Profit'!O18,'SwapDesk — Financials · Profit'!P18)</f>
        <v>-3282.166247616018</v>
      </c>
      <c r="O7" s="9">
        <f>SUM('Model inputs'!X46,'Model inputs'!Y46,'Model inputs'!Z46)</f>
        <v>3672.295012942726</v>
      </c>
      <c r="P7" s="9">
        <f>SUM('Model inputs'!X45,'Model inputs'!Y45,'Model inputs'!Z45)</f>
        <v>-5444.125009153038</v>
      </c>
      <c r="Q7" s="9">
        <f>SUM('SwapDesk — Financials · Profit'!Q18,'SwapDesk — Financials · Profit'!R18,'SwapDesk — Financials · Profit'!S18)</f>
        <v>-2788.8064352663846</v>
      </c>
      <c r="R7" s="9">
        <f>SUM('Model inputs'!AA46,'Model inputs'!AB46,'Model inputs'!AC46)</f>
        <v>5690.976349874054</v>
      </c>
      <c r="S7" s="9">
        <f>SUM('Model inputs'!AA45,'Model inputs'!AB45,'Model inputs'!AC45)</f>
        <v>-5296.693151928796</v>
      </c>
      <c r="T7" s="9">
        <f>SUM('SwapDesk — Financials · Profit'!T18,'SwapDesk — Financials · Profit'!U18,'SwapDesk — Financials · Profit'!V18)</f>
        <v>-2329.6594123115947</v>
      </c>
      <c r="U7" s="9">
        <f>SUM('Model inputs'!AD46,'Model inputs'!AE46,'Model inputs'!AF46)</f>
        <v>7609.622056882438</v>
      </c>
      <c r="V7" s="9">
        <f>SUM('Model inputs'!AD45,'Model inputs'!AE45,'Model inputs'!AF45)</f>
        <v>-5172.2780454276235</v>
      </c>
      <c r="W7" s="9">
        <f>SUM('SwapDesk — Financials · Profit'!W18,'SwapDesk — Financials · Profit'!X18,'SwapDesk — Financials · Profit'!Y18)</f>
        <v>-1902.259155023678</v>
      </c>
      <c r="X7" s="9">
        <f>SUM('Model inputs'!AG46,'Model inputs'!AH46,'Model inputs'!AI46)</f>
        <v>9433.287020367496</v>
      </c>
      <c r="Y7" s="9">
        <f>SUM('Model inputs'!AG45,'Model inputs'!AH45,'Model inputs'!AI45)</f>
        <v>-5067.259909363684</v>
      </c>
    </row>
    <row r="8">
      <c r="A8" t="inlineStr" s="5">
        <is>
          <t xml:space="preserve">Ending cash</t>
        </is>
      </c>
      <c r="B8" s="6">
        <f>IF('SwapDesk — Financials · Profit'!D22="","",'SwapDesk — Financials · Profit'!D22)</f>
        <v>15345.571704450002</v>
      </c>
      <c r="C8" s="6">
        <f>IF('Model inputs'!N16="","",'Model inputs'!N16)</f>
        <v>15486.162147125</v>
      </c>
      <c r="D8" s="6">
        <f>IF('Model inputs'!N15="","",'Model inputs'!N15)</f>
        <v>14636.796424800003</v>
      </c>
      <c r="E8" s="6">
        <f>IF('SwapDesk — Financials · Profit'!G22="","",'SwapDesk — Financials · Profit'!G22)</f>
        <v>10350.2823779652</v>
      </c>
      <c r="F8" s="6">
        <f>IF('Model inputs'!Q16="","",'Model inputs'!Q16)</f>
        <v>12447.432357073227</v>
      </c>
      <c r="G8" s="6">
        <f>IF('Model inputs'!Q15="","",'Model inputs'!Q15)</f>
        <v>8565.038480997884</v>
      </c>
      <c r="H8" s="6">
        <f>IF('SwapDesk — Financials · Profit'!J22="","",'SwapDesk — Financials · Profit'!J22)</f>
        <v>5967.875908022509</v>
      </c>
      <c r="I8" s="6">
        <f>IF('Model inputs'!T16="","",'Model inputs'!T16)</f>
        <v>11760.64779254844</v>
      </c>
      <c r="J8" s="6">
        <f>IF('Model inputs'!T15="","",'Model inputs'!T15)</f>
        <v>2738.978871634678</v>
      </c>
      <c r="K8" s="6">
        <f>IF('SwapDesk — Financials · Profit'!M22="","",'SwapDesk — Financials · Profit'!M22)</f>
        <v>2155.4707936467803</v>
      </c>
      <c r="L8" s="6">
        <f>IF('Model inputs'!W16="","",'Model inputs'!W16)</f>
        <v>13308.89591700729</v>
      </c>
      <c r="M8" s="6">
        <f>IF('Model inputs'!W15="","",'Model inputs'!W15)</f>
        <v>-2879.896856217521</v>
      </c>
      <c r="N8" s="6">
        <f>IF('SwapDesk — Financials · Profit'!P22="","",'SwapDesk — Financials · Profit'!P22)</f>
        <v>-1126.695453969238</v>
      </c>
      <c r="O8" s="6">
        <f>IF('Model inputs'!Z16="","",'Model inputs'!Z16)</f>
        <v>16981.190929950015</v>
      </c>
      <c r="P8" s="6">
        <f>IF('Model inputs'!Z15="","",'Model inputs'!Z15)</f>
        <v>-8324.02186537056</v>
      </c>
      <c r="Q8" s="6">
        <f>IF('SwapDesk — Financials · Profit'!S22="","",'SwapDesk — Financials · Profit'!S22)</f>
        <v>-3915.5018892356225</v>
      </c>
      <c r="R8" s="6">
        <f>IF('Model inputs'!AC16="","",'Model inputs'!AC16)</f>
        <v>22672.167279824072</v>
      </c>
      <c r="S8" s="6">
        <f>IF('Model inputs'!AC15="","",'Model inputs'!AC15)</f>
        <v>-13620.715017299357</v>
      </c>
      <c r="T8" s="6">
        <f>IF('SwapDesk — Financials · Profit'!V22="","",'SwapDesk — Financials · Profit'!V22)</f>
        <v>-6245.161301547217</v>
      </c>
      <c r="U8" s="6">
        <f>IF('Model inputs'!AF16="","",'Model inputs'!AF16)</f>
        <v>30281.78933670651</v>
      </c>
      <c r="V8" s="6">
        <f>IF('Model inputs'!AF15="","",'Model inputs'!AF15)</f>
        <v>-18792.993062726982</v>
      </c>
      <c r="W8" s="6">
        <f>IF('SwapDesk — Financials · Profit'!Y22="","",'SwapDesk — Financials · Profit'!Y22)</f>
        <v>-8147.420456570895</v>
      </c>
      <c r="X8" s="6">
        <f>IF('Model inputs'!AI16="","",'Model inputs'!AI16)</f>
        <v>39715.07635707401</v>
      </c>
      <c r="Y8" s="6">
        <f>IF('Model inputs'!AI15="","",'Model inputs'!AI15)</f>
        <v>-23860.252972090664</v>
      </c>
    </row>
  </sheetData>
  <mergeCells count="1">
    <mergeCell ref="A1:Y1"/>
  </mergeCells>
</worksheet>
</file>

<file path=xl/worksheets/sheet10.xml><?xml version="1.0" encoding="utf-8"?>
<worksheet xmlns="http://schemas.openxmlformats.org/spreadsheetml/2006/main">
  <dimension ref="A1:AJ335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15">
        <is>
          <t xml:space="preserve">2026-01</t>
        </is>
      </c>
      <c r="D5" t="inlineStr" s="4">
        <is>
          <t xml:space="preserve">2026-02</t>
        </is>
      </c>
      <c r="E5" t="inlineStr" s="4">
        <is>
          <t xml:space="preserve">2026-03</t>
        </is>
      </c>
      <c r="F5" t="inlineStr" s="15">
        <is>
          <t xml:space="preserve">2026-04</t>
        </is>
      </c>
      <c r="G5" t="inlineStr" s="4">
        <is>
          <t xml:space="preserve">2026-05</t>
        </is>
      </c>
      <c r="H5" t="inlineStr" s="4">
        <is>
          <t xml:space="preserve">2026-06</t>
        </is>
      </c>
      <c r="I5" t="inlineStr" s="15">
        <is>
          <t xml:space="preserve">2026-07</t>
        </is>
      </c>
      <c r="J5" t="inlineStr" s="4">
        <is>
          <t xml:space="preserve">2026-08</t>
        </is>
      </c>
      <c r="K5" t="inlineStr" s="4">
        <is>
          <t xml:space="preserve">2026-09</t>
        </is>
      </c>
      <c r="L5" t="inlineStr" s="15">
        <is>
          <t xml:space="preserve">2026-10</t>
        </is>
      </c>
      <c r="M5" t="inlineStr" s="4">
        <is>
          <t xml:space="preserve">2026-11</t>
        </is>
      </c>
      <c r="N5" t="inlineStr" s="4">
        <is>
          <t xml:space="preserve">2026-12</t>
        </is>
      </c>
      <c r="O5" t="inlineStr" s="15">
        <is>
          <t xml:space="preserve">2027-01</t>
        </is>
      </c>
      <c r="P5" t="inlineStr" s="4">
        <is>
          <t xml:space="preserve">2027-02</t>
        </is>
      </c>
      <c r="Q5" t="inlineStr" s="4">
        <is>
          <t xml:space="preserve">2027-03</t>
        </is>
      </c>
      <c r="R5" t="inlineStr" s="15">
        <is>
          <t xml:space="preserve">2027-04</t>
        </is>
      </c>
      <c r="S5" t="inlineStr" s="4">
        <is>
          <t xml:space="preserve">2027-05</t>
        </is>
      </c>
      <c r="T5" t="inlineStr" s="4">
        <is>
          <t xml:space="preserve">2027-06</t>
        </is>
      </c>
      <c r="U5" t="inlineStr" s="15">
        <is>
          <t xml:space="preserve">2027-07</t>
        </is>
      </c>
      <c r="V5" t="inlineStr" s="4">
        <is>
          <t xml:space="preserve">2027-08</t>
        </is>
      </c>
      <c r="W5" t="inlineStr" s="4">
        <is>
          <t xml:space="preserve">2027-09</t>
        </is>
      </c>
      <c r="X5" t="inlineStr" s="15">
        <is>
          <t xml:space="preserve">2027-10</t>
        </is>
      </c>
      <c r="Y5" t="inlineStr" s="4">
        <is>
          <t xml:space="preserve">2027-11</t>
        </is>
      </c>
      <c r="Z5" t="inlineStr" s="4">
        <is>
          <t xml:space="preserve">2027-12</t>
        </is>
      </c>
      <c r="AA5" t="inlineStr" s="15">
        <is>
          <t xml:space="preserve">2028-01</t>
        </is>
      </c>
      <c r="AB5" t="inlineStr" s="4">
        <is>
          <t xml:space="preserve">2028-02</t>
        </is>
      </c>
      <c r="AC5" t="inlineStr" s="4">
        <is>
          <t xml:space="preserve">2028-03</t>
        </is>
      </c>
      <c r="AD5" t="inlineStr" s="15">
        <is>
          <t xml:space="preserve">2028-04</t>
        </is>
      </c>
      <c r="AE5" t="inlineStr" s="4">
        <is>
          <t xml:space="preserve">2028-05</t>
        </is>
      </c>
      <c r="AF5" t="inlineStr" s="4">
        <is>
          <t xml:space="preserve">2028-06</t>
        </is>
      </c>
      <c r="AG5" t="inlineStr" s="15">
        <is>
          <t xml:space="preserve">2028-07</t>
        </is>
      </c>
      <c r="AH5" t="inlineStr" s="4">
        <is>
          <t xml:space="preserve">2028-08</t>
        </is>
      </c>
      <c r="AI5" t="inlineStr" s="4">
        <is>
          <t xml:space="preserve">2028-09</t>
        </is>
      </c>
      <c r="AJ5" t="inlineStr" s="4">
        <is>
          <t xml:space="preserve">Value</t>
        </is>
      </c>
    </row>
    <row r="6">
      <c r="A6" t="inlineStr" s="22">
        <is>
          <t xml:space="preserve">Cases per store</t>
        </is>
      </c>
      <c r="B6" s="10">
        <v>0</v>
      </c>
    </row>
    <row r="7" outlineLevel="1">
      <c r="A7" t="inlineStr" s="23">
        <is>
          <t xml:space="preserve">Cases per store &gt; Growing shop</t>
        </is>
      </c>
      <c r="B7" s="8">
        <f>'SwapDesk — Assumptions · Mercha'!D5</f>
        <v>400</v>
      </c>
    </row>
    <row r="8" outlineLevel="1">
      <c r="A8" t="inlineStr" s="23">
        <is>
          <t xml:space="preserve">Cases per store &gt; Small shop</t>
        </is>
      </c>
      <c r="B8" s="8">
        <f>'SwapDesk — Assumptions · Mercha'!D6</f>
        <v>120</v>
      </c>
    </row>
    <row r="9">
      <c r="A9" t="inlineStr" s="22">
        <is>
          <t xml:space="preserve">Cash collections</t>
        </is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f>IF('Model inputs'!L55="","",'Model inputs'!L55)</f>
        <v>603.99</v>
      </c>
      <c r="M9" s="9">
        <f>IF('Model inputs'!M55="","",'Model inputs'!M55)</f>
        <v>702.5437</v>
      </c>
      <c r="N9" s="9">
        <f>IF('Model inputs'!N55="","",'Model inputs'!N55)</f>
        <v>798.722321</v>
      </c>
      <c r="O9" s="9">
        <f>IF('Model inputs'!O55="","",'Model inputs'!O55)</f>
        <v>892.58548473</v>
      </c>
      <c r="P9" s="9">
        <f>IF('Model inputs'!P55="","",'Model inputs'!P55)</f>
        <v>984.1912568808999</v>
      </c>
      <c r="Q9" s="9">
        <f>IF('Model inputs'!Q55="","",'Model inputs'!Q55)</f>
        <v>1073.5961891334168</v>
      </c>
      <c r="R9" s="9">
        <f>IF('Model inputs'!R55="","",'Model inputs'!R55)</f>
        <v>1160.8553600191794</v>
      </c>
      <c r="S9" s="9">
        <f>IF('Model inputs'!S55="","",'Model inputs'!S55)</f>
        <v>1246.022414647174</v>
      </c>
      <c r="T9" s="9">
        <f>IF('Model inputs'!T55="","",'Model inputs'!T55)</f>
        <v>1329.1496033277572</v>
      </c>
      <c r="U9" s="9">
        <f>IF('Model inputs'!U55="","",'Model inputs'!U55)</f>
        <v>1410.2878191255231</v>
      </c>
      <c r="V9" s="9">
        <f>IF('Model inputs'!V55="","",'Model inputs'!V55)</f>
        <v>1489.4866343714039</v>
      </c>
      <c r="W9" s="9">
        <f>IF('Model inputs'!W55="","",'Model inputs'!W55)</f>
        <v>1566.7943361635153</v>
      </c>
      <c r="X9" s="9">
        <f>IF('Model inputs'!X55="","",'Model inputs'!X55)</f>
        <v>1642.2579608853985</v>
      </c>
      <c r="Y9" s="9">
        <f>IF('Model inputs'!Y55="","",'Model inputs'!Y55)</f>
        <v>1715.9233277694893</v>
      </c>
      <c r="Z9" s="9">
        <f>IF('Model inputs'!Z55="","",'Model inputs'!Z55)</f>
        <v>1787.835071532844</v>
      </c>
      <c r="AA9" s="9">
        <f>IF('Model inputs'!AA55="","",'Model inputs'!AA55)</f>
        <v>1858.0366741113694</v>
      </c>
      <c r="AB9" s="9">
        <f>IF('Model inputs'!AB55="","",'Model inputs'!AB55)</f>
        <v>1926.570495518049</v>
      </c>
      <c r="AC9" s="9">
        <f>IF('Model inputs'!AC55="","",'Model inputs'!AC55)</f>
        <v>1993.477803849928</v>
      </c>
      <c r="AD9" s="9">
        <f>IF('Model inputs'!AD55="","",'Model inputs'!AD55)</f>
        <v>2058.7988044679023</v>
      </c>
      <c r="AE9" s="9">
        <f>IF('Model inputs'!AE55="","",'Model inputs'!AE55)</f>
        <v>2122.5726683726675</v>
      </c>
      <c r="AF9" s="9">
        <f>IF('Model inputs'!AF55="","",'Model inputs'!AF55)</f>
        <v>2184.8375597995137</v>
      </c>
      <c r="AG9" s="9">
        <f>IF('Model inputs'!AG55="","",'Model inputs'!AG55)</f>
        <v>2245.6306630539943</v>
      </c>
      <c r="AH9" s="9">
        <f>IF('Model inputs'!AH55="","",'Model inputs'!AH55)</f>
        <v>2304.988208609871</v>
      </c>
      <c r="AI9" s="9">
        <f>IF('Model inputs'!AI55="","",'Model inputs'!AI55)</f>
        <v>2362.9454984901213</v>
      </c>
    </row>
    <row r="10">
      <c r="A10" t="inlineStr" s="22">
        <is>
          <t xml:space="preserve">Cash payments</t>
        </is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f>'Model inputs'!L11+'Model inputs'!L44</f>
        <v>565.0395</v>
      </c>
      <c r="M10" s="9">
        <f>'Model inputs'!M11+'Model inputs'!M44</f>
        <v>586.737395</v>
      </c>
      <c r="N10" s="9">
        <f>'Model inputs'!N11+'Model inputs'!N44</f>
        <v>607.90742155</v>
      </c>
      <c r="O10" s="9">
        <f>'Model inputs'!O11+'Model inputs'!O44</f>
        <v>2628.5629543355</v>
      </c>
      <c r="P10" s="9">
        <f>'Model inputs'!P11+'Model inputs'!P44</f>
        <v>2648.717016028795</v>
      </c>
      <c r="Q10" s="9">
        <f>'Model inputs'!Q11+'Model inputs'!Q44</f>
        <v>2668.382286864824</v>
      </c>
      <c r="R10" s="9">
        <f>'Model inputs'!R11+'Model inputs'!R44</f>
        <v>2687.571113949434</v>
      </c>
      <c r="S10" s="9">
        <f>'Model inputs'!S11+'Model inputs'!S44</f>
        <v>2706.295520307695</v>
      </c>
      <c r="T10" s="9">
        <f>'Model inputs'!T11+'Model inputs'!T44</f>
        <v>2724.567213679673</v>
      </c>
      <c r="U10" s="9">
        <f>'Model inputs'!U11+'Model inputs'!U44</f>
        <v>2742.3975950708677</v>
      </c>
      <c r="V10" s="9">
        <f>'Model inputs'!V11+'Model inputs'!V44</f>
        <v>2759.797767064295</v>
      </c>
      <c r="W10" s="9">
        <f>'Model inputs'!W11+'Model inputs'!W44</f>
        <v>2776.778541901008</v>
      </c>
      <c r="X10" s="9">
        <f>'Model inputs'!X11+'Model inputs'!X44</f>
        <v>2793.3504493356468</v>
      </c>
      <c r="Y10" s="9">
        <f>'Model inputs'!Y11+'Model inputs'!Y44</f>
        <v>2809.5237442734133</v>
      </c>
      <c r="Z10" s="9">
        <f>'Model inputs'!Z11+'Model inputs'!Z44</f>
        <v>2825.30841419469</v>
      </c>
      <c r="AA10" s="9">
        <f>'Model inputs'!AA11+'Model inputs'!AA44</f>
        <v>2840.7141863733386</v>
      </c>
      <c r="AB10" s="9">
        <f>'Model inputs'!AB11+'Model inputs'!AB44</f>
        <v>2855.7505348945383</v>
      </c>
      <c r="AC10" s="9">
        <f>'Model inputs'!AC11+'Model inputs'!AC44</f>
        <v>2870.426687477854</v>
      </c>
      <c r="AD10" s="9">
        <f>'Model inputs'!AD11+'Model inputs'!AD44</f>
        <v>2884.751632111067</v>
      </c>
      <c r="AE10" s="9">
        <f>'Model inputs'!AE11+'Model inputs'!AE44</f>
        <v>2898.7341235001327</v>
      </c>
      <c r="AF10" s="9">
        <f>'Model inputs'!AF11+'Model inputs'!AF44</f>
        <v>2912.3826893404785</v>
      </c>
      <c r="AG10" s="9">
        <f>'Model inputs'!AG11+'Model inputs'!AG44</f>
        <v>2925.705636414707</v>
      </c>
      <c r="AH10" s="9">
        <f>'Model inputs'!AH11+'Model inputs'!AH44</f>
        <v>2938.71105652162</v>
      </c>
      <c r="AI10" s="9">
        <f>'Model inputs'!AI11+'Model inputs'!AI44</f>
        <v>2951.4068322413377</v>
      </c>
    </row>
    <row r="11">
      <c r="A11" t="inlineStr" s="22">
        <is>
          <t xml:space="preserve">Cost of service</t>
        </is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f>'Model inputs'!L114+'Model inputs'!L94+'Model inputs'!L103+'Model inputs'!L26</f>
        <v>208.78949999999998</v>
      </c>
      <c r="M11" s="9">
        <f>'Model inputs'!M114+'Model inputs'!M94+'Model inputs'!M103+'Model inputs'!M26</f>
        <v>230.487395</v>
      </c>
      <c r="N11" s="9">
        <f>'Model inputs'!N114+'Model inputs'!N94+'Model inputs'!N103+'Model inputs'!N26</f>
        <v>251.65742154999998</v>
      </c>
      <c r="O11" s="9">
        <f>'Model inputs'!O114+'Model inputs'!O94+'Model inputs'!O103+'Model inputs'!O26</f>
        <v>272.3129543355</v>
      </c>
      <c r="P11" s="9">
        <f>'Model inputs'!P114+'Model inputs'!P94+'Model inputs'!P103+'Model inputs'!P26</f>
        <v>292.467016028795</v>
      </c>
      <c r="Q11" s="9">
        <f>'Model inputs'!Q114+'Model inputs'!Q94+'Model inputs'!Q103+'Model inputs'!Q26</f>
        <v>312.1322868648239</v>
      </c>
      <c r="R11" s="9">
        <f>'Model inputs'!R114+'Model inputs'!R94+'Model inputs'!R103+'Model inputs'!R26</f>
        <v>331.32111394943416</v>
      </c>
      <c r="S11" s="9">
        <f>'Model inputs'!S114+'Model inputs'!S94+'Model inputs'!S103+'Model inputs'!S26</f>
        <v>350.04552030769497</v>
      </c>
      <c r="T11" s="9">
        <f>'Model inputs'!T114+'Model inputs'!T94+'Model inputs'!T103+'Model inputs'!T26</f>
        <v>368.31721367967305</v>
      </c>
      <c r="U11" s="9">
        <f>'Model inputs'!U114+'Model inputs'!U94+'Model inputs'!U103+'Model inputs'!U26</f>
        <v>386.14759507086774</v>
      </c>
      <c r="V11" s="9">
        <f>'Model inputs'!V114+'Model inputs'!V94+'Model inputs'!V103+'Model inputs'!V26</f>
        <v>403.5477670642948</v>
      </c>
      <c r="W11" s="9">
        <f>'Model inputs'!W114+'Model inputs'!W94+'Model inputs'!W103+'Model inputs'!W26</f>
        <v>420.528541901008</v>
      </c>
      <c r="X11" s="9">
        <f>'Model inputs'!X114+'Model inputs'!X94+'Model inputs'!X103+'Model inputs'!X26</f>
        <v>437.1004493356469</v>
      </c>
      <c r="Y11" s="9">
        <f>'Model inputs'!Y114+'Model inputs'!Y94+'Model inputs'!Y103+'Model inputs'!Y26</f>
        <v>453.27374427341334</v>
      </c>
      <c r="Z11" s="9">
        <f>'Model inputs'!Z114+'Model inputs'!Z94+'Model inputs'!Z103+'Model inputs'!Z26</f>
        <v>469.05841419469004</v>
      </c>
      <c r="AA11" s="9">
        <f>'Model inputs'!AA114+'Model inputs'!AA94+'Model inputs'!AA103+'Model inputs'!AA26</f>
        <v>484.4641863733388</v>
      </c>
      <c r="AB11" s="9">
        <f>'Model inputs'!AB114+'Model inputs'!AB94+'Model inputs'!AB103+'Model inputs'!AB26</f>
        <v>499.50053489453836</v>
      </c>
      <c r="AC11" s="9">
        <f>'Model inputs'!AC114+'Model inputs'!AC94+'Model inputs'!AC103+'Model inputs'!AC26</f>
        <v>514.1766874778539</v>
      </c>
      <c r="AD11" s="9">
        <f>'Model inputs'!AD114+'Model inputs'!AD94+'Model inputs'!AD103+'Model inputs'!AD26</f>
        <v>528.501632111067</v>
      </c>
      <c r="AE11" s="9">
        <f>'Model inputs'!AE114+'Model inputs'!AE94+'Model inputs'!AE103+'Model inputs'!AE26</f>
        <v>542.4841235001328</v>
      </c>
      <c r="AF11" s="9">
        <f>'Model inputs'!AF114+'Model inputs'!AF94+'Model inputs'!AF103+'Model inputs'!AF26</f>
        <v>556.1326893404785</v>
      </c>
      <c r="AG11" s="9">
        <f>'Model inputs'!AG114+'Model inputs'!AG94+'Model inputs'!AG103+'Model inputs'!AG26</f>
        <v>569.455636414707</v>
      </c>
      <c r="AH11" s="9">
        <f>'Model inputs'!AH114+'Model inputs'!AH94+'Model inputs'!AH103+'Model inputs'!AH26</f>
        <v>582.4610565216196</v>
      </c>
      <c r="AI11" s="9">
        <f>'Model inputs'!AI114+'Model inputs'!AI94+'Model inputs'!AI103+'Model inputs'!AI26</f>
        <v>595.156832241338</v>
      </c>
    </row>
    <row r="12">
      <c r="A12" t="inlineStr" s="22">
        <is>
          <t xml:space="preserve">Cost per execution · SwapDesk — Operations · Merchant and execution forecast</t>
        </is>
      </c>
      <c r="B12" s="9">
        <f>'SwapDesk — Assumptions · Commer'!B8</f>
        <v>0.03</v>
      </c>
    </row>
    <row r="13">
      <c r="A13" t="inlineStr" s="22">
        <is>
          <t xml:space="preserve">Customer acquisition cost</t>
        </is>
      </c>
      <c r="B13" s="9">
        <f>'SwapDesk — Assumptions · Commer'!B11</f>
        <v>100</v>
      </c>
    </row>
    <row r="14">
      <c r="A14" t="inlineStr" s="22">
        <is>
          <t xml:space="preserve">Ending cash · SwapDesk — Financials · Profit and cash forecast · Main Scenario</t>
        </is>
      </c>
      <c r="C14" s="9">
        <f>IF('SwapDesk — Assumptions · Commer'!B15="","",'SwapDesk — Assumptions · Commer'!B15)</f>
        <v>15000</v>
      </c>
      <c r="D14" s="9">
        <f>IF('SwapDesk — Assumptions · Commer'!B15="","",'SwapDesk — Assumptions · Commer'!B15)</f>
        <v>15000</v>
      </c>
      <c r="E14" s="9">
        <f>IF('SwapDesk — Assumptions · Commer'!B15="","",'SwapDesk — Assumptions · Commer'!B15)</f>
        <v>15000</v>
      </c>
      <c r="F14" s="9">
        <f>IF('SwapDesk — Assumptions · Commer'!B15="","",'SwapDesk — Assumptions · Commer'!B15)</f>
        <v>15000</v>
      </c>
      <c r="G14" s="9">
        <f>IF('SwapDesk — Assumptions · Commer'!B15="","",'SwapDesk — Assumptions · Commer'!B15)</f>
        <v>15000</v>
      </c>
      <c r="H14" s="9">
        <f>IF('SwapDesk — Assumptions · Commer'!B15="","",'SwapDesk — Assumptions · Commer'!B15)</f>
        <v>15000</v>
      </c>
      <c r="I14" s="9">
        <f>IF('SwapDesk — Assumptions · Commer'!B15="","",'SwapDesk — Assumptions · Commer'!B15)</f>
        <v>15000</v>
      </c>
      <c r="J14" s="9">
        <f>IF('SwapDesk — Assumptions · Commer'!B15="","",'SwapDesk — Assumptions · Commer'!B15)</f>
        <v>15000</v>
      </c>
      <c r="K14" s="9">
        <f>IF('SwapDesk — Assumptions · Commer'!B15="","",'SwapDesk — Assumptions · Commer'!B15)</f>
        <v>15000</v>
      </c>
      <c r="L14" s="9">
        <f>'Model inputs'!K14+'Model inputs'!L39</f>
        <v>15038.9505</v>
      </c>
      <c r="M14" s="9">
        <f>'Model inputs'!L14+'Model inputs'!M39</f>
        <v>15154.756805</v>
      </c>
      <c r="N14" s="9">
        <f>'Model inputs'!M14+'Model inputs'!N39</f>
        <v>15345.571704450002</v>
      </c>
      <c r="O14" s="9">
        <f>'Model inputs'!N14+'Model inputs'!O39</f>
        <v>13609.594234844502</v>
      </c>
      <c r="P14" s="9">
        <f>'Model inputs'!O14+'Model inputs'!P39</f>
        <v>11945.068475696607</v>
      </c>
      <c r="Q14" s="9">
        <f>'Model inputs'!P14+'Model inputs'!Q39</f>
        <v>10350.2823779652</v>
      </c>
      <c r="R14" s="9">
        <f>'Model inputs'!Q14+'Model inputs'!R39</f>
        <v>8823.566624034946</v>
      </c>
      <c r="S14" s="9">
        <f>'Model inputs'!R14+'Model inputs'!S39</f>
        <v>7363.293518374425</v>
      </c>
      <c r="T14" s="9">
        <f>'Model inputs'!S14+'Model inputs'!T39</f>
        <v>5967.875908022509</v>
      </c>
      <c r="U14" s="9">
        <f>'Model inputs'!T14+'Model inputs'!U39</f>
        <v>4635.766132077164</v>
      </c>
      <c r="V14" s="9">
        <f>'Model inputs'!U14+'Model inputs'!V39</f>
        <v>3365.454999384273</v>
      </c>
      <c r="W14" s="9">
        <f>'Model inputs'!V14+'Model inputs'!W39</f>
        <v>2155.4707936467803</v>
      </c>
      <c r="X14" s="9">
        <f>'Model inputs'!W14+'Model inputs'!X39</f>
        <v>1004.378305196532</v>
      </c>
      <c r="Y14" s="9">
        <f>'Model inputs'!X14+'Model inputs'!Y39</f>
        <v>-89.22211130739197</v>
      </c>
      <c r="Z14" s="9">
        <f>'Model inputs'!Y14+'Model inputs'!Z39</f>
        <v>-1126.695453969238</v>
      </c>
      <c r="AA14" s="9">
        <f>'Model inputs'!Z14+'Model inputs'!AA39</f>
        <v>-2109.372966231207</v>
      </c>
      <c r="AB14" s="9">
        <f>'Model inputs'!AA14+'Model inputs'!AB39</f>
        <v>-3038.5530056076964</v>
      </c>
      <c r="AC14" s="9">
        <f>'Model inputs'!AB14+'Model inputs'!AC39</f>
        <v>-3915.5018892356225</v>
      </c>
      <c r="AD14" s="9">
        <f>'Model inputs'!AC14+'Model inputs'!AD39</f>
        <v>-4741.454716878787</v>
      </c>
      <c r="AE14" s="9">
        <f>'Model inputs'!AD14+'Model inputs'!AE39</f>
        <v>-5517.616172006252</v>
      </c>
      <c r="AF14" s="9">
        <f>'Model inputs'!AE14+'Model inputs'!AF39</f>
        <v>-6245.161301547217</v>
      </c>
      <c r="AG14" s="9">
        <f>'Model inputs'!AF14+'Model inputs'!AG39</f>
        <v>-6925.236274907929</v>
      </c>
      <c r="AH14" s="9">
        <f>'Model inputs'!AG14+'Model inputs'!AH39</f>
        <v>-7558.959122819679</v>
      </c>
      <c r="AI14" s="9">
        <f>'Model inputs'!AH14+'Model inputs'!AI39</f>
        <v>-8147.420456570895</v>
      </c>
    </row>
    <row r="15">
      <c r="A15" t="inlineStr" s="22">
        <is>
          <t xml:space="preserve">Ending cash · Bad Reliability</t>
        </is>
      </c>
      <c r="C15" s="9">
        <f>IF('Model inputs'!B121="","",'Model inputs'!B121)</f>
        <v>15000</v>
      </c>
      <c r="D15" s="9">
        <f>IF('Model inputs'!B121="","",'Model inputs'!B121)</f>
        <v>15000</v>
      </c>
      <c r="E15" s="9">
        <f>IF('Model inputs'!B121="","",'Model inputs'!B121)</f>
        <v>15000</v>
      </c>
      <c r="F15" s="9">
        <f>IF('Model inputs'!B121="","",'Model inputs'!B121)</f>
        <v>15000</v>
      </c>
      <c r="G15" s="9">
        <f>IF('Model inputs'!B121="","",'Model inputs'!B121)</f>
        <v>15000</v>
      </c>
      <c r="H15" s="9">
        <f>IF('Model inputs'!B121="","",'Model inputs'!B121)</f>
        <v>15000</v>
      </c>
      <c r="I15" s="9">
        <f>IF('Model inputs'!B121="","",'Model inputs'!B121)</f>
        <v>15000</v>
      </c>
      <c r="J15" s="9">
        <f>IF('Model inputs'!B121="","",'Model inputs'!B121)</f>
        <v>15000</v>
      </c>
      <c r="K15" s="9">
        <f>IF('Model inputs'!B121="","",'Model inputs'!B121)</f>
        <v>15000</v>
      </c>
      <c r="L15" s="9">
        <f>'Model inputs'!K15+'Model inputs'!L119</f>
        <v>14843.388</v>
      </c>
      <c r="M15" s="9">
        <f>'Model inputs'!L15+'Model inputs'!M119</f>
        <v>14722.988920000002</v>
      </c>
      <c r="N15" s="9">
        <f>'Model inputs'!M15+'Model inputs'!N119</f>
        <v>14636.796424800003</v>
      </c>
      <c r="O15" s="9">
        <f>'Model inputs'!N15+'Model inputs'!O119</f>
        <v>12582.916237312002</v>
      </c>
      <c r="P15" s="9">
        <f>'Model inputs'!O15+'Model inputs'!P119</f>
        <v>10559.559831173281</v>
      </c>
      <c r="Q15" s="9">
        <f>'Model inputs'!P15+'Model inputs'!Q119</f>
        <v>8565.038480997884</v>
      </c>
      <c r="R15" s="9">
        <f>'Model inputs'!Q15+'Model inputs'!R119</f>
        <v>6597.757649848261</v>
      </c>
      <c r="S15" s="9">
        <f>'Model inputs'!R15+'Model inputs'!S119</f>
        <v>4656.211694682103</v>
      </c>
      <c r="T15" s="9">
        <f>'Model inputs'!S15+'Model inputs'!T119</f>
        <v>2738.978871634678</v>
      </c>
      <c r="U15" s="9">
        <f>'Model inputs'!T15+'Model inputs'!U119</f>
        <v>844.7166240384229</v>
      </c>
      <c r="V15" s="9">
        <f>'Model inputs'!U15+'Model inputs'!V119</f>
        <v>-1027.8428629371479</v>
      </c>
      <c r="W15" s="9">
        <f>'Model inputs'!V15+'Model inputs'!W119</f>
        <v>-2879.896856217521</v>
      </c>
      <c r="X15" s="9">
        <f>'Model inputs'!W15+'Model inputs'!X119</f>
        <v>-4712.576031648242</v>
      </c>
      <c r="Y15" s="9">
        <f>'Model inputs'!X15+'Model inputs'!Y119</f>
        <v>-6526.94820721293</v>
      </c>
      <c r="Z15" s="9">
        <f>'Model inputs'!Y15+'Model inputs'!Z119</f>
        <v>-8324.02186537056</v>
      </c>
      <c r="AA15" s="9">
        <f>'Model inputs'!Z15+'Model inputs'!AA119</f>
        <v>-10104.74947650921</v>
      </c>
      <c r="AB15" s="9">
        <f>'Model inputs'!AA15+'Model inputs'!AB119</f>
        <v>-11870.030634826498</v>
      </c>
      <c r="AC15" s="9">
        <f>'Model inputs'!AB15+'Model inputs'!AC119</f>
        <v>-13620.715017299357</v>
      </c>
      <c r="AD15" s="9">
        <f>'Model inputs'!AC15+'Model inputs'!AD119</f>
        <v>-15357.605175795721</v>
      </c>
      <c r="AE15" s="9">
        <f>'Model inputs'!AD15+'Model inputs'!AE119</f>
        <v>-17081.45917180559</v>
      </c>
      <c r="AF15" s="9">
        <f>'Model inputs'!AE15+'Model inputs'!AF119</f>
        <v>-18792.993062726982</v>
      </c>
      <c r="AG15" s="9">
        <f>'Model inputs'!AF15+'Model inputs'!AG119</f>
        <v>-20492.883248131606</v>
      </c>
      <c r="AH15" s="9">
        <f>'Model inputs'!AG15+'Model inputs'!AH119</f>
        <v>-22181.768683953538</v>
      </c>
      <c r="AI15" s="9">
        <f>'Model inputs'!AH15+'Model inputs'!AI119</f>
        <v>-23860.252972090664</v>
      </c>
    </row>
    <row r="16">
      <c r="A16" t="inlineStr" s="22">
        <is>
          <t xml:space="preserve">Ending cash · Growth</t>
        </is>
      </c>
      <c r="C16" s="9">
        <f>IF('Model inputs'!B122="","",'Model inputs'!B122)</f>
        <v>15000</v>
      </c>
      <c r="D16" s="9">
        <f>IF('Model inputs'!B122="","",'Model inputs'!B122)</f>
        <v>15000</v>
      </c>
      <c r="E16" s="9">
        <f>IF('Model inputs'!B122="","",'Model inputs'!B122)</f>
        <v>15000</v>
      </c>
      <c r="F16" s="9">
        <f>IF('Model inputs'!B122="","",'Model inputs'!B122)</f>
        <v>15000</v>
      </c>
      <c r="G16" s="9">
        <f>IF('Model inputs'!B122="","",'Model inputs'!B122)</f>
        <v>15000</v>
      </c>
      <c r="H16" s="9">
        <f>IF('Model inputs'!B122="","",'Model inputs'!B122)</f>
        <v>15000</v>
      </c>
      <c r="I16" s="9">
        <f>IF('Model inputs'!B122="","",'Model inputs'!B122)</f>
        <v>15000</v>
      </c>
      <c r="J16" s="9">
        <f>IF('Model inputs'!B122="","",'Model inputs'!B122)</f>
        <v>15000</v>
      </c>
      <c r="K16" s="9">
        <f>IF('Model inputs'!B122="","",'Model inputs'!B122)</f>
        <v>15000</v>
      </c>
      <c r="L16" s="9">
        <f>'Model inputs'!K16+'Model inputs'!L120</f>
        <v>14879.172</v>
      </c>
      <c r="M16" s="9">
        <f>'Model inputs'!L16+'Model inputs'!M120</f>
        <v>15042.827465</v>
      </c>
      <c r="N16" s="9">
        <f>'Model inputs'!M16+'Model inputs'!N120</f>
        <v>15486.162147125</v>
      </c>
      <c r="O16" s="9">
        <f>'Model inputs'!N16+'Model inputs'!O120</f>
        <v>14204.454602136126</v>
      </c>
      <c r="P16" s="9">
        <f>'Model inputs'!O16+'Model inputs'!P120</f>
        <v>13193.064732577724</v>
      </c>
      <c r="Q16" s="9">
        <f>'Model inputs'!P16+'Model inputs'!Q120</f>
        <v>12447.432357073227</v>
      </c>
      <c r="R16" s="9">
        <f>'Model inputs'!Q16+'Model inputs'!R120</f>
        <v>11963.075805291614</v>
      </c>
      <c r="S16" s="9">
        <f>'Model inputs'!R16+'Model inputs'!S120</f>
        <v>11735.590538115233</v>
      </c>
      <c r="T16" s="9">
        <f>'Model inputs'!S16+'Model inputs'!T120</f>
        <v>11760.64779254844</v>
      </c>
      <c r="U16" s="9">
        <f>'Model inputs'!T16+'Model inputs'!U120</f>
        <v>12033.99325091505</v>
      </c>
      <c r="V16" s="9">
        <f>'Model inputs'!U16+'Model inputs'!V120</f>
        <v>12551.445733901062</v>
      </c>
      <c r="W16" s="9">
        <f>'Model inputs'!V16+'Model inputs'!W120</f>
        <v>13308.89591700729</v>
      </c>
      <c r="X16" s="9">
        <f>'Model inputs'!W16+'Model inputs'!X120</f>
        <v>14302.305069984632</v>
      </c>
      <c r="Y16" s="9">
        <f>'Model inputs'!X16+'Model inputs'!Y120</f>
        <v>15527.703818832662</v>
      </c>
      <c r="Z16" s="9">
        <f>'Model inputs'!Y16+'Model inputs'!Z120</f>
        <v>16981.190929950015</v>
      </c>
      <c r="AA16" s="9">
        <f>'Model inputs'!Z16+'Model inputs'!AA120</f>
        <v>18658.932116032614</v>
      </c>
      <c r="AB16" s="9">
        <f>'Model inputs'!AA16+'Model inputs'!AB120</f>
        <v>20557.158863323337</v>
      </c>
      <c r="AC16" s="9">
        <f>'Model inputs'!AB16+'Model inputs'!AC120</f>
        <v>22672.167279824072</v>
      </c>
      <c r="AD16" s="9">
        <f>'Model inputs'!AC16+'Model inputs'!AD120</f>
        <v>25000.316964088284</v>
      </c>
      <c r="AE16" s="9">
        <f>'Model inputs'!AD16+'Model inputs'!AE120</f>
        <v>27538.029894219304</v>
      </c>
      <c r="AF16" s="9">
        <f>'Model inputs'!AE16+'Model inputs'!AF120</f>
        <v>30281.78933670651</v>
      </c>
      <c r="AG16" s="9">
        <f>'Model inputs'!AF16+'Model inputs'!AG120</f>
        <v>33228.1387747384</v>
      </c>
      <c r="AH16" s="9">
        <f>'Model inputs'!AG16+'Model inputs'!AH120</f>
        <v>36373.68085563816</v>
      </c>
      <c r="AI16" s="9">
        <f>'Model inputs'!AH16+'Model inputs'!AI120</f>
        <v>39715.07635707401</v>
      </c>
    </row>
    <row r="17">
      <c r="A17" t="inlineStr" s="22">
        <is>
          <t xml:space="preserve">Ending stores</t>
        </is>
      </c>
      <c r="C17" s="10">
        <f>SUM('Model inputs'!C18,'Model inputs'!C19)</f>
        <v>0</v>
      </c>
      <c r="D17" s="10">
        <f>SUM('Model inputs'!D18,'Model inputs'!D19)</f>
        <v>0</v>
      </c>
      <c r="E17" s="10">
        <f>SUM('Model inputs'!E18,'Model inputs'!E19)</f>
        <v>0</v>
      </c>
      <c r="F17" s="10">
        <f>SUM('Model inputs'!F18,'Model inputs'!F19)</f>
        <v>0</v>
      </c>
      <c r="G17" s="10">
        <f>SUM('Model inputs'!G18,'Model inputs'!G19)</f>
        <v>0</v>
      </c>
      <c r="H17" s="10">
        <f>SUM('Model inputs'!H18,'Model inputs'!H19)</f>
        <v>0</v>
      </c>
      <c r="I17" s="10">
        <f>SUM('Model inputs'!I18,'Model inputs'!I19)</f>
        <v>0</v>
      </c>
      <c r="J17" s="10">
        <f>SUM('Model inputs'!J18,'Model inputs'!J19)</f>
        <v>0</v>
      </c>
      <c r="K17" s="10">
        <f>SUM('Model inputs'!K18,'Model inputs'!K19)</f>
        <v>7</v>
      </c>
      <c r="L17" s="10">
        <f>SUM('Model inputs'!L18,'Model inputs'!L19)</f>
        <v>8.309999999999999</v>
      </c>
      <c r="M17" s="10">
        <f>SUM('Model inputs'!M18,'Model inputs'!M19)</f>
        <v>9.5853</v>
      </c>
      <c r="N17" s="10">
        <f>SUM('Model inputs'!N18,'Model inputs'!N19)</f>
        <v>10.826849</v>
      </c>
      <c r="O17" s="10">
        <f>SUM('Model inputs'!O18,'Model inputs'!O19)</f>
        <v>12.03556937</v>
      </c>
      <c r="P17" s="10">
        <f>SUM('Model inputs'!P18,'Model inputs'!P19)</f>
        <v>13.2123576121</v>
      </c>
      <c r="Q17" s="10">
        <f>SUM('Model inputs'!Q18,'Model inputs'!Q19)</f>
        <v>14.358085100472998</v>
      </c>
      <c r="R17" s="10">
        <f>SUM('Model inputs'!R18,'Model inputs'!R19)</f>
        <v>15.473598799860088</v>
      </c>
      <c r="S17" s="10">
        <f>SUM('Model inputs'!S18,'Model inputs'!S19)</f>
        <v>16.55972196321754</v>
      </c>
      <c r="T17" s="10">
        <f>SUM('Model inputs'!T18,'Model inputs'!T19)</f>
        <v>17.617254809127203</v>
      </c>
      <c r="U17" s="10">
        <f>SUM('Model inputs'!U18,'Model inputs'!U19)</f>
        <v>18.646975179563455</v>
      </c>
      <c r="V17" s="10">
        <f>SUM('Model inputs'!V18,'Model inputs'!V19)</f>
        <v>19.649639178592416</v>
      </c>
      <c r="W17" s="10">
        <f>SUM('Model inputs'!W18,'Model inputs'!W19)</f>
        <v>20.62598179256219</v>
      </c>
      <c r="X17" s="10">
        <f>SUM('Model inputs'!X18,'Model inputs'!X19)</f>
        <v>21.57671749232632</v>
      </c>
      <c r="Y17" s="10">
        <f>SUM('Model inputs'!Y18,'Model inputs'!Y19)</f>
        <v>22.50254081802671</v>
      </c>
      <c r="Z17" s="10">
        <f>SUM('Model inputs'!Z18,'Model inputs'!Z19)</f>
        <v>23.40412694694668</v>
      </c>
      <c r="AA17" s="10">
        <f>SUM('Model inputs'!AA18,'Model inputs'!AA19)</f>
        <v>24.282132244929834</v>
      </c>
      <c r="AB17" s="10">
        <f>SUM('Model inputs'!AB18,'Model inputs'!AB19)</f>
        <v>25.137194801845666</v>
      </c>
      <c r="AC17" s="10">
        <f>SUM('Model inputs'!AC18,'Model inputs'!AC19)</f>
        <v>25.96993495156875</v>
      </c>
      <c r="AD17" s="10">
        <f>SUM('Model inputs'!AD18,'Model inputs'!AD19)</f>
        <v>26.78095577692457</v>
      </c>
      <c r="AE17" s="10">
        <f>SUM('Model inputs'!AE18,'Model inputs'!AE19)</f>
        <v>27.570843600041655</v>
      </c>
      <c r="AF17" s="10">
        <f>SUM('Model inputs'!AF18,'Model inputs'!AF19)</f>
        <v>28.340168458536738</v>
      </c>
      <c r="AG17" s="10">
        <f>SUM('Model inputs'!AG18,'Model inputs'!AG19)</f>
        <v>29.089484567947036</v>
      </c>
      <c r="AH17" s="10">
        <f>SUM('Model inputs'!AH18,'Model inputs'!AH19)</f>
        <v>29.8193307708117</v>
      </c>
      <c r="AI17" s="10">
        <f>SUM('Model inputs'!AI18,'Model inputs'!AI19)</f>
        <v>30.53023097279236</v>
      </c>
    </row>
    <row r="18" outlineLevel="1">
      <c r="A18" t="inlineStr" s="23">
        <is>
          <t xml:space="preserve">Ending stores &gt; Growing shop</t>
        </is>
      </c>
      <c r="C18" s="8">
        <f>0</f>
        <v>0</v>
      </c>
      <c r="D18" s="8">
        <f>0</f>
        <v>0</v>
      </c>
      <c r="E18" s="8">
        <f>0</f>
        <v>0</v>
      </c>
      <c r="F18" s="8">
        <f>0</f>
        <v>0</v>
      </c>
      <c r="G18" s="8">
        <f>0</f>
        <v>0</v>
      </c>
      <c r="H18" s="8">
        <f>0</f>
        <v>0</v>
      </c>
      <c r="I18" s="8">
        <f>0</f>
        <v>0</v>
      </c>
      <c r="J18" s="8">
        <f>0</f>
        <v>0</v>
      </c>
      <c r="K18" s="8">
        <f>'SwapDesk — Operations · Merchan'!B15</f>
        <v>2</v>
      </c>
      <c r="L18" s="8">
        <f>'Model inputs'!L77+'Model inputs'!L74-'Model inputs'!L71</f>
        <v>2.46</v>
      </c>
      <c r="M18" s="8">
        <f>'Model inputs'!M77+'Model inputs'!M74-'Model inputs'!M71</f>
        <v>2.9108</v>
      </c>
      <c r="N18" s="8">
        <f>'Model inputs'!N77+'Model inputs'!N74-'Model inputs'!N71</f>
        <v>3.3525840000000002</v>
      </c>
      <c r="O18" s="8">
        <f>'Model inputs'!O77+'Model inputs'!O74-'Model inputs'!O71</f>
        <v>3.78553232</v>
      </c>
      <c r="P18" s="8">
        <f>'Model inputs'!P77+'Model inputs'!P74-'Model inputs'!P71</f>
        <v>4.2098216736</v>
      </c>
      <c r="Q18" s="8">
        <f>'Model inputs'!Q77+'Model inputs'!Q74-'Model inputs'!Q71</f>
        <v>4.625625240128</v>
      </c>
      <c r="R18" s="8">
        <f>'Model inputs'!R77+'Model inputs'!R74-'Model inputs'!R71</f>
        <v>5.03311273532544</v>
      </c>
      <c r="S18" s="8">
        <f>'Model inputs'!S77+'Model inputs'!S74-'Model inputs'!S71</f>
        <v>5.432450480618931</v>
      </c>
      <c r="T18" s="8">
        <f>'Model inputs'!T77+'Model inputs'!T74-'Model inputs'!T71</f>
        <v>5.823801471006552</v>
      </c>
      <c r="U18" s="8">
        <f>'Model inputs'!U77+'Model inputs'!U74-'Model inputs'!U71</f>
        <v>6.207325441586422</v>
      </c>
      <c r="V18" s="8">
        <f>'Model inputs'!V77+'Model inputs'!V74-'Model inputs'!V71</f>
        <v>6.583178932754693</v>
      </c>
      <c r="W18" s="8">
        <f>'Model inputs'!W77+'Model inputs'!W74-'Model inputs'!W71</f>
        <v>6.951515354099599</v>
      </c>
      <c r="X18" s="8">
        <f>'Model inputs'!X77+'Model inputs'!X74-'Model inputs'!X71</f>
        <v>7.312485047017607</v>
      </c>
      <c r="Y18" s="8">
        <f>'Model inputs'!Y77+'Model inputs'!Y74-'Model inputs'!Y71</f>
        <v>7.666235346077255</v>
      </c>
      <c r="Z18" s="8">
        <f>'Model inputs'!Z77+'Model inputs'!Z74-'Model inputs'!Z71</f>
        <v>8.01291063915571</v>
      </c>
      <c r="AA18" s="8">
        <f>'Model inputs'!AA77+'Model inputs'!AA74-'Model inputs'!AA71</f>
        <v>8.352652426372595</v>
      </c>
      <c r="AB18" s="8">
        <f>'Model inputs'!AB77+'Model inputs'!AB74-'Model inputs'!AB71</f>
        <v>8.685599377845143</v>
      </c>
      <c r="AC18" s="8">
        <f>'Model inputs'!AC77+'Model inputs'!AC74-'Model inputs'!AC71</f>
        <v>9.01188739028824</v>
      </c>
      <c r="AD18" s="8">
        <f>'Model inputs'!AD77+'Model inputs'!AD74-'Model inputs'!AD71</f>
        <v>9.331649642482477</v>
      </c>
      <c r="AE18" s="8">
        <f>'Model inputs'!AE77+'Model inputs'!AE74-'Model inputs'!AE71</f>
        <v>9.645016649632828</v>
      </c>
      <c r="AF18" s="8">
        <f>'Model inputs'!AF77+'Model inputs'!AF74-'Model inputs'!AF71</f>
        <v>9.95211631664017</v>
      </c>
      <c r="AG18" s="8">
        <f>'Model inputs'!AG77+'Model inputs'!AG74-'Model inputs'!AG71</f>
        <v>10.253073990307367</v>
      </c>
      <c r="AH18" s="8">
        <f>'Model inputs'!AH77+'Model inputs'!AH74-'Model inputs'!AH71</f>
        <v>10.54801251050122</v>
      </c>
      <c r="AI18" s="8">
        <f>'Model inputs'!AI77+'Model inputs'!AI74-'Model inputs'!AI71</f>
        <v>10.837052260291195</v>
      </c>
    </row>
    <row r="19" outlineLevel="1">
      <c r="A19" t="inlineStr" s="23">
        <is>
          <t xml:space="preserve">Ending stores &gt; Small shop</t>
        </is>
      </c>
      <c r="C19" s="8">
        <f>0</f>
        <v>0</v>
      </c>
      <c r="D19" s="8">
        <f>0</f>
        <v>0</v>
      </c>
      <c r="E19" s="8">
        <f>0</f>
        <v>0</v>
      </c>
      <c r="F19" s="8">
        <f>0</f>
        <v>0</v>
      </c>
      <c r="G19" s="8">
        <f>0</f>
        <v>0</v>
      </c>
      <c r="H19" s="8">
        <f>0</f>
        <v>0</v>
      </c>
      <c r="I19" s="8">
        <f>0</f>
        <v>0</v>
      </c>
      <c r="J19" s="8">
        <f>0</f>
        <v>0</v>
      </c>
      <c r="K19" s="8">
        <f>'SwapDesk — Operations · Merchan'!B16</f>
        <v>5</v>
      </c>
      <c r="L19" s="8">
        <f>'Model inputs'!L78+'Model inputs'!L75-'Model inputs'!L72</f>
        <v>5.85</v>
      </c>
      <c r="M19" s="8">
        <f>'Model inputs'!M78+'Model inputs'!M75-'Model inputs'!M72</f>
        <v>6.6745</v>
      </c>
      <c r="N19" s="8">
        <f>'Model inputs'!N78+'Model inputs'!N75-'Model inputs'!N72</f>
        <v>7.474265</v>
      </c>
      <c r="O19" s="8">
        <f>'Model inputs'!O78+'Model inputs'!O75-'Model inputs'!O72</f>
        <v>8.25003705</v>
      </c>
      <c r="P19" s="8">
        <f>'Model inputs'!P78+'Model inputs'!P75-'Model inputs'!P72</f>
        <v>9.0025359385</v>
      </c>
      <c r="Q19" s="8">
        <f>'Model inputs'!Q78+'Model inputs'!Q75-'Model inputs'!Q72</f>
        <v>9.732459860345</v>
      </c>
      <c r="R19" s="8">
        <f>'Model inputs'!R78+'Model inputs'!R75-'Model inputs'!R72</f>
        <v>10.44048606453465</v>
      </c>
      <c r="S19" s="8">
        <f>'Model inputs'!S78+'Model inputs'!S75-'Model inputs'!S72</f>
        <v>11.12727148259861</v>
      </c>
      <c r="T19" s="8">
        <f>'Model inputs'!T78+'Model inputs'!T75-'Model inputs'!T72</f>
        <v>11.793453338120653</v>
      </c>
      <c r="U19" s="8">
        <f>'Model inputs'!U78+'Model inputs'!U75-'Model inputs'!U72</f>
        <v>12.439649737977033</v>
      </c>
      <c r="V19" s="8">
        <f>'Model inputs'!V78+'Model inputs'!V75-'Model inputs'!V72</f>
        <v>13.066460245837723</v>
      </c>
      <c r="W19" s="8">
        <f>'Model inputs'!W78+'Model inputs'!W75-'Model inputs'!W72</f>
        <v>13.674466438462591</v>
      </c>
      <c r="X19" s="8">
        <f>'Model inputs'!X78+'Model inputs'!X75-'Model inputs'!X72</f>
        <v>14.264232445308714</v>
      </c>
      <c r="Y19" s="8">
        <f>'Model inputs'!Y78+'Model inputs'!Y75-'Model inputs'!Y72</f>
        <v>14.836305471949453</v>
      </c>
      <c r="Z19" s="8">
        <f>'Model inputs'!Z78+'Model inputs'!Z75-'Model inputs'!Z72</f>
        <v>15.39121630779097</v>
      </c>
      <c r="AA19" s="8">
        <f>'Model inputs'!AA78+'Model inputs'!AA75-'Model inputs'!AA72</f>
        <v>15.92947981855724</v>
      </c>
      <c r="AB19" s="8">
        <f>'Model inputs'!AB78+'Model inputs'!AB75-'Model inputs'!AB72</f>
        <v>16.451595424000523</v>
      </c>
      <c r="AC19" s="8">
        <f>'Model inputs'!AC78+'Model inputs'!AC75-'Model inputs'!AC72</f>
        <v>16.95804756128051</v>
      </c>
      <c r="AD19" s="8">
        <f>'Model inputs'!AD78+'Model inputs'!AD75-'Model inputs'!AD72</f>
        <v>17.449306134442093</v>
      </c>
      <c r="AE19" s="8">
        <f>'Model inputs'!AE78+'Model inputs'!AE75-'Model inputs'!AE72</f>
        <v>17.92582695040883</v>
      </c>
      <c r="AF19" s="8">
        <f>'Model inputs'!AF78+'Model inputs'!AF75-'Model inputs'!AF72</f>
        <v>18.388052141896566</v>
      </c>
      <c r="AG19" s="8">
        <f>'Model inputs'!AG78+'Model inputs'!AG75-'Model inputs'!AG72</f>
        <v>18.83641057763967</v>
      </c>
      <c r="AH19" s="8">
        <f>'Model inputs'!AH78+'Model inputs'!AH75-'Model inputs'!AH72</f>
        <v>19.27131826031048</v>
      </c>
      <c r="AI19" s="8">
        <f>'Model inputs'!AI78+'Model inputs'!AI75-'Model inputs'!AI72</f>
        <v>19.693178712501165</v>
      </c>
    </row>
    <row r="20">
      <c r="A20" t="inlineStr" s="22">
        <is>
          <t xml:space="preserve">Extra execution factor</t>
        </is>
      </c>
      <c r="AJ20" s="11">
        <v>0</v>
      </c>
    </row>
    <row r="21" outlineLevel="1">
      <c r="A21" t="inlineStr" s="23">
        <is>
          <t xml:space="preserve">Extra execution factor &gt; Growing shop</t>
        </is>
      </c>
      <c r="AJ21" s="19">
        <f>'SwapDesk — Assumptions · Mercha'!F5</f>
        <v>0.15</v>
      </c>
    </row>
    <row r="22" outlineLevel="1">
      <c r="A22" t="inlineStr" s="23">
        <is>
          <t xml:space="preserve">Extra execution factor &gt; Small shop</t>
        </is>
      </c>
      <c r="AJ22" s="19">
        <f>'SwapDesk — Assumptions · Mercha'!F6</f>
        <v>0.15</v>
      </c>
    </row>
    <row r="23">
      <c r="A23" t="inlineStr" s="22">
        <is>
          <t xml:space="preserve">Extra execution factor</t>
        </is>
      </c>
      <c r="B23" s="11">
        <v>0</v>
      </c>
    </row>
    <row r="24" outlineLevel="1">
      <c r="A24" t="inlineStr" s="23">
        <is>
          <t xml:space="preserve">Extra execution factor &gt; Growing shop</t>
        </is>
      </c>
      <c r="B24" s="19">
        <f>'SwapDesk — Assumptions · Mercha'!F5</f>
        <v>0.15</v>
      </c>
    </row>
    <row r="25" outlineLevel="1">
      <c r="A25" t="inlineStr" s="23">
        <is>
          <t xml:space="preserve">Extra execution factor &gt; Small shop</t>
        </is>
      </c>
      <c r="B25" s="19">
        <f>'SwapDesk — Assumptions · Mercha'!F6</f>
        <v>0.15</v>
      </c>
    </row>
    <row r="26">
      <c r="A26" t="inlineStr" s="22">
        <is>
          <t xml:space="preserve">Fixed hosting</t>
        </is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f>IF('Model inputs'!B27="","",'Model inputs'!B27)</f>
        <v>75</v>
      </c>
      <c r="M26" s="9">
        <f>IF('Model inputs'!B27="","",'Model inputs'!B27)</f>
        <v>75</v>
      </c>
      <c r="N26" s="9">
        <f>IF('Model inputs'!B27="","",'Model inputs'!B27)</f>
        <v>75</v>
      </c>
      <c r="O26" s="9">
        <f>IF('Model inputs'!B27="","",'Model inputs'!B27)</f>
        <v>75</v>
      </c>
      <c r="P26" s="9">
        <f>IF('Model inputs'!B27="","",'Model inputs'!B27)</f>
        <v>75</v>
      </c>
      <c r="Q26" s="9">
        <f>IF('Model inputs'!B27="","",'Model inputs'!B27)</f>
        <v>75</v>
      </c>
      <c r="R26" s="9">
        <f>IF('Model inputs'!B27="","",'Model inputs'!B27)</f>
        <v>75</v>
      </c>
      <c r="S26" s="9">
        <f>IF('Model inputs'!B27="","",'Model inputs'!B27)</f>
        <v>75</v>
      </c>
      <c r="T26" s="9">
        <f>IF('Model inputs'!B27="","",'Model inputs'!B27)</f>
        <v>75</v>
      </c>
      <c r="U26" s="9">
        <f>IF('Model inputs'!B27="","",'Model inputs'!B27)</f>
        <v>75</v>
      </c>
      <c r="V26" s="9">
        <f>IF('Model inputs'!B27="","",'Model inputs'!B27)</f>
        <v>75</v>
      </c>
      <c r="W26" s="9">
        <f>IF('Model inputs'!B27="","",'Model inputs'!B27)</f>
        <v>75</v>
      </c>
      <c r="X26" s="9">
        <f>IF('Model inputs'!B27="","",'Model inputs'!B27)</f>
        <v>75</v>
      </c>
      <c r="Y26" s="9">
        <f>IF('Model inputs'!B27="","",'Model inputs'!B27)</f>
        <v>75</v>
      </c>
      <c r="Z26" s="9">
        <f>IF('Model inputs'!B27="","",'Model inputs'!B27)</f>
        <v>75</v>
      </c>
      <c r="AA26" s="9">
        <f>IF('Model inputs'!B27="","",'Model inputs'!B27)</f>
        <v>75</v>
      </c>
      <c r="AB26" s="9">
        <f>IF('Model inputs'!B27="","",'Model inputs'!B27)</f>
        <v>75</v>
      </c>
      <c r="AC26" s="9">
        <f>IF('Model inputs'!B27="","",'Model inputs'!B27)</f>
        <v>75</v>
      </c>
      <c r="AD26" s="9">
        <f>IF('Model inputs'!B27="","",'Model inputs'!B27)</f>
        <v>75</v>
      </c>
      <c r="AE26" s="9">
        <f>IF('Model inputs'!B27="","",'Model inputs'!B27)</f>
        <v>75</v>
      </c>
      <c r="AF26" s="9">
        <f>IF('Model inputs'!B27="","",'Model inputs'!B27)</f>
        <v>75</v>
      </c>
      <c r="AG26" s="9">
        <f>IF('Model inputs'!B27="","",'Model inputs'!B27)</f>
        <v>75</v>
      </c>
      <c r="AH26" s="9">
        <f>IF('Model inputs'!B27="","",'Model inputs'!B27)</f>
        <v>75</v>
      </c>
      <c r="AI26" s="9">
        <f>IF('Model inputs'!B27="","",'Model inputs'!B27)</f>
        <v>75</v>
      </c>
    </row>
    <row r="27">
      <c r="A27" t="inlineStr" s="22">
        <is>
          <t xml:space="preserve">Fixed infrastructure cost</t>
        </is>
      </c>
      <c r="B27" s="9">
        <f>'SwapDesk — Assumptions · Commer'!B12</f>
        <v>75</v>
      </c>
    </row>
    <row r="28">
      <c r="A28" t="inlineStr" s="22">
        <is>
          <t xml:space="preserve">Founder start date</t>
        </is>
      </c>
      <c r="B28" s="10">
        <v/>
      </c>
    </row>
    <row r="29" outlineLevel="1">
      <c r="A29" t="inlineStr" s="23">
        <is>
          <t xml:space="preserve">Founder start date &gt; Placeholder founder 1</t>
        </is>
      </c>
      <c r="B29" s="24">
        <f>DATE(2027,1,1)</f>
        <v>46388</v>
      </c>
    </row>
    <row r="30">
      <c r="A30" t="inlineStr" s="22">
        <is>
          <t xml:space="preserve">Gross profit · Bad Reliability</t>
        </is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f>'Model inputs'!L53-'Model inputs'!L117</f>
        <v>199.63799999999998</v>
      </c>
      <c r="M30" s="9">
        <f>'Model inputs'!M53-'Model inputs'!M117</f>
        <v>235.85091999999997</v>
      </c>
      <c r="N30" s="9">
        <f>'Model inputs'!N53-'Model inputs'!N117</f>
        <v>270.05750480000006</v>
      </c>
      <c r="O30" s="9">
        <f>'Model inputs'!O53-'Model inputs'!O117</f>
        <v>302.36981251199995</v>
      </c>
      <c r="P30" s="9">
        <f>'Model inputs'!P53-'Model inputs'!P117</f>
        <v>332.89359386127995</v>
      </c>
      <c r="Q30" s="9">
        <f>'Model inputs'!Q53-'Model inputs'!Q117</f>
        <v>361.72864982460317</v>
      </c>
      <c r="R30" s="9">
        <f>'Model inputs'!R53-'Model inputs'!R117</f>
        <v>388.969168850377</v>
      </c>
      <c r="S30" s="9">
        <f>'Model inputs'!S53-'Model inputs'!S117</f>
        <v>414.7040448338419</v>
      </c>
      <c r="T30" s="9">
        <f>'Model inputs'!T53-'Model inputs'!T117</f>
        <v>439.0171769525745</v>
      </c>
      <c r="U30" s="9">
        <f>'Model inputs'!U53-'Model inputs'!U117</f>
        <v>461.987752403745</v>
      </c>
      <c r="V30" s="9">
        <f>'Model inputs'!V53-'Model inputs'!V117</f>
        <v>483.69051302442904</v>
      </c>
      <c r="W30" s="9">
        <f>'Model inputs'!W53-'Model inputs'!W117</f>
        <v>504.1960067196269</v>
      </c>
      <c r="X30" s="9">
        <f>'Model inputs'!X53-'Model inputs'!X117</f>
        <v>523.570824569279</v>
      </c>
      <c r="Y30" s="9">
        <f>'Model inputs'!Y53-'Model inputs'!Y117</f>
        <v>541.8778244353109</v>
      </c>
      <c r="Z30" s="9">
        <f>'Model inputs'!Z53-'Model inputs'!Z117</f>
        <v>559.1763418423715</v>
      </c>
      <c r="AA30" s="9">
        <f>'Model inputs'!AA53-'Model inputs'!AA117</f>
        <v>575.5223888613493</v>
      </c>
      <c r="AB30" s="9">
        <f>'Model inputs'!AB53-'Model inputs'!AB117</f>
        <v>590.9688416827125</v>
      </c>
      <c r="AC30" s="9">
        <f>'Model inputs'!AC53-'Model inputs'!AC117</f>
        <v>605.5656175271419</v>
      </c>
      <c r="AD30" s="9">
        <f>'Model inputs'!AD53-'Model inputs'!AD117</f>
        <v>619.3598415036358</v>
      </c>
      <c r="AE30" s="9">
        <f>'Model inputs'!AE53-'Model inputs'!AE117</f>
        <v>632.396003990134</v>
      </c>
      <c r="AF30" s="9">
        <f>'Model inputs'!AF53-'Model inputs'!AF117</f>
        <v>644.7161090786065</v>
      </c>
      <c r="AG30" s="9">
        <f>'Model inputs'!AG53-'Model inputs'!AG117</f>
        <v>656.3598145953765</v>
      </c>
      <c r="AH30" s="9">
        <f>'Model inputs'!AH53-'Model inputs'!AH117</f>
        <v>667.3645641780663</v>
      </c>
      <c r="AI30" s="9">
        <f>'Model inputs'!AI53-'Model inputs'!AI117</f>
        <v>677.7657118628736</v>
      </c>
    </row>
    <row r="31">
      <c r="A31" t="inlineStr" s="22">
        <is>
          <t xml:space="preserve">Gross profit · Growth</t>
        </is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f>'Model inputs'!L54-'Model inputs'!L118</f>
        <v>647.922</v>
      </c>
      <c r="M31" s="9">
        <f>'Model inputs'!M54-'Model inputs'!M118</f>
        <v>932.4054650000003</v>
      </c>
      <c r="N31" s="9">
        <f>'Model inputs'!N54-'Model inputs'!N118</f>
        <v>1212.0846821250002</v>
      </c>
      <c r="O31" s="9">
        <f>'Model inputs'!O54-'Model inputs'!O118</f>
        <v>1487.0424550111254</v>
      </c>
      <c r="P31" s="9">
        <f>'Model inputs'!P54-'Model inputs'!P118</f>
        <v>1757.360130441598</v>
      </c>
      <c r="Q31" s="9">
        <f>'Model inputs'!Q54-'Model inputs'!Q118</f>
        <v>2023.1176244955018</v>
      </c>
      <c r="R31" s="9">
        <f>'Model inputs'!R54-'Model inputs'!R118</f>
        <v>2284.393448218386</v>
      </c>
      <c r="S31" s="9">
        <f>'Model inputs'!S54-'Model inputs'!S118</f>
        <v>2541.2647328236203</v>
      </c>
      <c r="T31" s="9">
        <f>'Model inputs'!T54-'Model inputs'!T118</f>
        <v>2793.807254433206</v>
      </c>
      <c r="U31" s="9">
        <f>'Model inputs'!U54-'Model inputs'!U118</f>
        <v>3042.0954583666094</v>
      </c>
      <c r="V31" s="9">
        <f>'Model inputs'!V54-'Model inputs'!V118</f>
        <v>3286.202482986014</v>
      </c>
      <c r="W31" s="9">
        <f>'Model inputs'!W54-'Model inputs'!W118</f>
        <v>3526.2001831062285</v>
      </c>
      <c r="X31" s="9">
        <f>'Model inputs'!X54-'Model inputs'!X118</f>
        <v>3762.1591529773405</v>
      </c>
      <c r="Y31" s="9">
        <f>'Model inputs'!Y54-'Model inputs'!Y118</f>
        <v>3994.148748848031</v>
      </c>
      <c r="Z31" s="9">
        <f>'Model inputs'!Z54-'Model inputs'!Z118</f>
        <v>4222.237111117354</v>
      </c>
      <c r="AA31" s="9">
        <f>'Model inputs'!AA54-'Model inputs'!AA118</f>
        <v>4446.491186082598</v>
      </c>
      <c r="AB31" s="9">
        <f>'Model inputs'!AB54-'Model inputs'!AB118</f>
        <v>4666.976747290721</v>
      </c>
      <c r="AC31" s="9">
        <f>'Model inputs'!AC54-'Model inputs'!AC118</f>
        <v>4883.758416500736</v>
      </c>
      <c r="AD31" s="9">
        <f>'Model inputs'!AD54-'Model inputs'!AD118</f>
        <v>5096.899684264214</v>
      </c>
      <c r="AE31" s="9">
        <f>'Model inputs'!AE54-'Model inputs'!AE118</f>
        <v>5306.462930131018</v>
      </c>
      <c r="AF31" s="9">
        <f>'Model inputs'!AF54-'Model inputs'!AF118</f>
        <v>5512.509442487207</v>
      </c>
      <c r="AG31" s="9">
        <f>'Model inputs'!AG54-'Model inputs'!AG118</f>
        <v>5715.099438031888</v>
      </c>
      <c r="AH31" s="9">
        <f>'Model inputs'!AH54-'Model inputs'!AH118</f>
        <v>5914.292080899761</v>
      </c>
      <c r="AI31" s="9">
        <f>'Model inputs'!AI54-'Model inputs'!AI118</f>
        <v>6110.145501435847</v>
      </c>
    </row>
    <row r="32">
      <c r="A32" t="inlineStr" s="22">
        <is>
          <t xml:space="preserve">Gross profit · SwapDesk — Financials · Profit and cash forecast · Main Scenario</t>
        </is>
      </c>
      <c r="L32" s="9">
        <f>'Model inputs'!L55-'Model inputs'!L11</f>
        <v>395.20050000000003</v>
      </c>
      <c r="M32" s="9">
        <f>'Model inputs'!M55-'Model inputs'!M11</f>
        <v>472.05630499999995</v>
      </c>
      <c r="N32" s="9">
        <f>'Model inputs'!N55-'Model inputs'!N11</f>
        <v>547.06489945</v>
      </c>
      <c r="O32" s="9">
        <f>'Model inputs'!O55-'Model inputs'!O11</f>
        <v>620.2725303944999</v>
      </c>
      <c r="P32" s="9">
        <f>'Model inputs'!P55-'Model inputs'!P11</f>
        <v>691.7242408521049</v>
      </c>
      <c r="Q32" s="9">
        <f>'Model inputs'!Q55-'Model inputs'!Q11</f>
        <v>761.4639022685928</v>
      </c>
      <c r="R32" s="9">
        <f>'Model inputs'!R55-'Model inputs'!R11</f>
        <v>829.5342460697452</v>
      </c>
      <c r="S32" s="9">
        <f>'Model inputs'!S55-'Model inputs'!S11</f>
        <v>895.976894339479</v>
      </c>
      <c r="T32" s="9">
        <f>'Model inputs'!T55-'Model inputs'!T11</f>
        <v>960.8323896480841</v>
      </c>
      <c r="U32" s="9">
        <f>'Model inputs'!U55-'Model inputs'!U11</f>
        <v>1024.1402240546554</v>
      </c>
      <c r="V32" s="9">
        <f>'Model inputs'!V55-'Model inputs'!V11</f>
        <v>1085.938867307109</v>
      </c>
      <c r="W32" s="9">
        <f>'Model inputs'!W55-'Model inputs'!W11</f>
        <v>1146.2657942625074</v>
      </c>
      <c r="X32" s="9">
        <f>'Model inputs'!X55-'Model inputs'!X11</f>
        <v>1205.1575115497517</v>
      </c>
      <c r="Y32" s="9">
        <f>'Model inputs'!Y55-'Model inputs'!Y11</f>
        <v>1262.649583496076</v>
      </c>
      <c r="Z32" s="9">
        <f>'Model inputs'!Z55-'Model inputs'!Z11</f>
        <v>1318.776657338154</v>
      </c>
      <c r="AA32" s="9">
        <f>'Model inputs'!AA55-'Model inputs'!AA11</f>
        <v>1373.5724877380305</v>
      </c>
      <c r="AB32" s="9">
        <f>'Model inputs'!AB55-'Model inputs'!AB11</f>
        <v>1427.0699606235107</v>
      </c>
      <c r="AC32" s="9">
        <f>'Model inputs'!AC55-'Model inputs'!AC11</f>
        <v>1479.3011163720741</v>
      </c>
      <c r="AD32" s="9">
        <f>'Model inputs'!AD55-'Model inputs'!AD11</f>
        <v>1530.2971723568353</v>
      </c>
      <c r="AE32" s="9">
        <f>'Model inputs'!AE55-'Model inputs'!AE11</f>
        <v>1580.0885448725348</v>
      </c>
      <c r="AF32" s="9">
        <f>'Model inputs'!AF55-'Model inputs'!AF11</f>
        <v>1628.7048704590352</v>
      </c>
      <c r="AG32" s="9">
        <f>'Model inputs'!AG55-'Model inputs'!AG11</f>
        <v>1676.1750266392874</v>
      </c>
      <c r="AH32" s="9">
        <f>'Model inputs'!AH55-'Model inputs'!AH11</f>
        <v>1722.5271520882513</v>
      </c>
      <c r="AI32" s="9">
        <f>'Model inputs'!AI55-'Model inputs'!AI11</f>
        <v>1767.7886662487833</v>
      </c>
    </row>
    <row r="33">
      <c r="A33" t="inlineStr" s="22">
        <is>
          <t xml:space="preserve">Gross profit · SwapDesk — Business Plan · Quarterly scenario comparison · Main Scenario</t>
        </is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f>IF('Model inputs'!L32="","",'Model inputs'!L32)</f>
        <v>395.20050000000003</v>
      </c>
      <c r="M33" s="9">
        <f>IF('Model inputs'!M32="","",'Model inputs'!M32)</f>
        <v>472.05630499999995</v>
      </c>
      <c r="N33" s="9">
        <f>IF('Model inputs'!N32="","",'Model inputs'!N32)</f>
        <v>547.06489945</v>
      </c>
      <c r="O33" s="9">
        <f>IF('Model inputs'!O32="","",'Model inputs'!O32)</f>
        <v>620.2725303944999</v>
      </c>
      <c r="P33" s="9">
        <f>IF('Model inputs'!P32="","",'Model inputs'!P32)</f>
        <v>691.7242408521049</v>
      </c>
      <c r="Q33" s="9">
        <f>IF('Model inputs'!Q32="","",'Model inputs'!Q32)</f>
        <v>761.4639022685928</v>
      </c>
      <c r="R33" s="9">
        <f>IF('Model inputs'!R32="","",'Model inputs'!R32)</f>
        <v>829.5342460697452</v>
      </c>
      <c r="S33" s="9">
        <f>IF('Model inputs'!S32="","",'Model inputs'!S32)</f>
        <v>895.976894339479</v>
      </c>
      <c r="T33" s="9">
        <f>IF('Model inputs'!T32="","",'Model inputs'!T32)</f>
        <v>960.8323896480841</v>
      </c>
      <c r="U33" s="9">
        <f>IF('Model inputs'!U32="","",'Model inputs'!U32)</f>
        <v>1024.1402240546554</v>
      </c>
      <c r="V33" s="9">
        <f>IF('Model inputs'!V32="","",'Model inputs'!V32)</f>
        <v>1085.938867307109</v>
      </c>
      <c r="W33" s="9">
        <f>IF('Model inputs'!W32="","",'Model inputs'!W32)</f>
        <v>1146.2657942625074</v>
      </c>
      <c r="X33" s="9">
        <f>IF('Model inputs'!X32="","",'Model inputs'!X32)</f>
        <v>1205.1575115497517</v>
      </c>
      <c r="Y33" s="9">
        <f>IF('Model inputs'!Y32="","",'Model inputs'!Y32)</f>
        <v>1262.649583496076</v>
      </c>
      <c r="Z33" s="9">
        <f>IF('Model inputs'!Z32="","",'Model inputs'!Z32)</f>
        <v>1318.776657338154</v>
      </c>
      <c r="AA33" s="9">
        <f>IF('Model inputs'!AA32="","",'Model inputs'!AA32)</f>
        <v>1373.5724877380305</v>
      </c>
      <c r="AB33" s="9">
        <f>IF('Model inputs'!AB32="","",'Model inputs'!AB32)</f>
        <v>1427.0699606235107</v>
      </c>
      <c r="AC33" s="9">
        <f>IF('Model inputs'!AC32="","",'Model inputs'!AC32)</f>
        <v>1479.3011163720741</v>
      </c>
      <c r="AD33" s="9">
        <f>IF('Model inputs'!AD32="","",'Model inputs'!AD32)</f>
        <v>1530.2971723568353</v>
      </c>
      <c r="AE33" s="9">
        <f>IF('Model inputs'!AE32="","",'Model inputs'!AE32)</f>
        <v>1580.0885448725348</v>
      </c>
      <c r="AF33" s="9">
        <f>IF('Model inputs'!AF32="","",'Model inputs'!AF32)</f>
        <v>1628.7048704590352</v>
      </c>
      <c r="AG33" s="9">
        <f>IF('Model inputs'!AG32="","",'Model inputs'!AG32)</f>
        <v>1676.1750266392874</v>
      </c>
      <c r="AH33" s="9">
        <f>IF('Model inputs'!AH32="","",'Model inputs'!AH32)</f>
        <v>1722.5271520882513</v>
      </c>
      <c r="AI33" s="9">
        <f>IF('Model inputs'!AI32="","",'Model inputs'!AI32)</f>
        <v>1767.7886662487833</v>
      </c>
    </row>
    <row r="34">
      <c r="A34" t="inlineStr" s="22">
        <is>
          <t xml:space="preserve">Included resolutions · SwapDesk — Operations · Merchant and execution forecast</t>
        </is>
      </c>
      <c r="B34" s="8">
        <f>'SwapDesk — Assumptions · Commer'!B6</f>
        <v>100</v>
      </c>
    </row>
    <row r="35">
      <c r="A35" t="inlineStr" s="22">
        <is>
          <t xml:space="preserve">Infrastructure cost per store · SwapDesk — Operations · Merchant and execution forecast</t>
        </is>
      </c>
      <c r="B35" s="9">
        <f>'SwapDesk — Assumptions · Commer'!B13</f>
        <v>1</v>
      </c>
    </row>
    <row r="36">
      <c r="A36" t="inlineStr" s="22">
        <is>
          <t xml:space="preserve">Monthly store churn</t>
        </is>
      </c>
      <c r="B36" s="11">
        <v>0</v>
      </c>
    </row>
    <row r="37" outlineLevel="1">
      <c r="A37" t="inlineStr" s="23">
        <is>
          <t xml:space="preserve">Monthly store churn &gt; Growing shop</t>
        </is>
      </c>
      <c r="B37" s="19">
        <f>'SwapDesk — Assumptions · Mercha'!C5</f>
        <v>0.02</v>
      </c>
    </row>
    <row r="38" outlineLevel="1">
      <c r="A38" t="inlineStr" s="23">
        <is>
          <t xml:space="preserve">Monthly store churn &gt; Small shop</t>
        </is>
      </c>
      <c r="B38" s="19">
        <f>'SwapDesk — Assumptions · Mercha'!C6</f>
        <v>0.03</v>
      </c>
    </row>
    <row r="39">
      <c r="A39" t="inlineStr" s="22">
        <is>
          <t xml:space="preserve">Net cash flow</t>
        </is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f>'Model inputs'!L9-'Model inputs'!L10</f>
        <v>38.950500000000034</v>
      </c>
      <c r="M39" s="9">
        <f>'Model inputs'!M9-'Model inputs'!M10</f>
        <v>115.80630499999995</v>
      </c>
      <c r="N39" s="9">
        <f>'Model inputs'!N9-'Model inputs'!N10</f>
        <v>190.81489944999998</v>
      </c>
      <c r="O39" s="9">
        <f>'Model inputs'!O9-'Model inputs'!O10</f>
        <v>-1735.9774696055</v>
      </c>
      <c r="P39" s="9">
        <f>'Model inputs'!P9-'Model inputs'!P10</f>
        <v>-1664.5257591478953</v>
      </c>
      <c r="Q39" s="9">
        <f>'Model inputs'!Q9-'Model inputs'!Q10</f>
        <v>-1594.7860977314072</v>
      </c>
      <c r="R39" s="9">
        <f>'Model inputs'!R9-'Model inputs'!R10</f>
        <v>-1526.7157539302548</v>
      </c>
      <c r="S39" s="9">
        <f>'Model inputs'!S9-'Model inputs'!S10</f>
        <v>-1460.273105660521</v>
      </c>
      <c r="T39" s="9">
        <f>'Model inputs'!T9-'Model inputs'!T10</f>
        <v>-1395.4176103519158</v>
      </c>
      <c r="U39" s="9">
        <f>'Model inputs'!U9-'Model inputs'!U10</f>
        <v>-1332.1097759453446</v>
      </c>
      <c r="V39" s="9">
        <f>'Model inputs'!V9-'Model inputs'!V10</f>
        <v>-1270.311132692891</v>
      </c>
      <c r="W39" s="9">
        <f>'Model inputs'!W9-'Model inputs'!W10</f>
        <v>-1209.9842057374926</v>
      </c>
      <c r="X39" s="9">
        <f>'Model inputs'!X9-'Model inputs'!X10</f>
        <v>-1151.0924884502483</v>
      </c>
      <c r="Y39" s="9">
        <f>'Model inputs'!Y9-'Model inputs'!Y10</f>
        <v>-1093.600416503924</v>
      </c>
      <c r="Z39" s="9">
        <f>'Model inputs'!Z9-'Model inputs'!Z10</f>
        <v>-1037.4733426618461</v>
      </c>
      <c r="AA39" s="9">
        <f>'Model inputs'!AA9-'Model inputs'!AA10</f>
        <v>-982.6775122619692</v>
      </c>
      <c r="AB39" s="9">
        <f>'Model inputs'!AB9-'Model inputs'!AB10</f>
        <v>-929.1800393764893</v>
      </c>
      <c r="AC39" s="9">
        <f>'Model inputs'!AC9-'Model inputs'!AC10</f>
        <v>-876.9488836279261</v>
      </c>
      <c r="AD39" s="9">
        <f>'Model inputs'!AD9-'Model inputs'!AD10</f>
        <v>-825.9528276431647</v>
      </c>
      <c r="AE39" s="9">
        <f>'Model inputs'!AE9-'Model inputs'!AE10</f>
        <v>-776.1614551274652</v>
      </c>
      <c r="AF39" s="9">
        <f>'Model inputs'!AF9-'Model inputs'!AF10</f>
        <v>-727.5451295409648</v>
      </c>
      <c r="AG39" s="9">
        <f>'Model inputs'!AG9-'Model inputs'!AG10</f>
        <v>-680.0749733607126</v>
      </c>
      <c r="AH39" s="9">
        <f>'Model inputs'!AH9-'Model inputs'!AH10</f>
        <v>-633.7228479117489</v>
      </c>
      <c r="AI39" s="9">
        <f>'Model inputs'!AI9-'Model inputs'!AI10</f>
        <v>-588.4613337512164</v>
      </c>
    </row>
    <row r="40">
      <c r="A40" t="inlineStr" s="22">
        <is>
          <t xml:space="preserve">New stores per month</t>
        </is>
      </c>
      <c r="B40" s="10">
        <v>0</v>
      </c>
    </row>
    <row r="41" outlineLevel="1">
      <c r="A41" t="inlineStr" s="23">
        <is>
          <t xml:space="preserve">New stores per month &gt; Growing shop</t>
        </is>
      </c>
      <c r="B41" s="8">
        <f>'SwapDesk — Assumptions · Mercha'!B5</f>
        <v>0.5</v>
      </c>
    </row>
    <row r="42" outlineLevel="1">
      <c r="A42" t="inlineStr" s="23">
        <is>
          <t xml:space="preserve">New stores per month &gt; Small shop</t>
        </is>
      </c>
      <c r="B42" s="8">
        <f>'SwapDesk — Assumptions · Mercha'!B6</f>
        <v>1</v>
      </c>
    </row>
    <row r="43">
      <c r="A43" t="inlineStr" s="22">
        <is>
          <t xml:space="preserve">Onboarding minutes</t>
        </is>
      </c>
      <c r="B43" s="8">
        <f>'SwapDesk — Assumptions · Commer'!B10</f>
        <v>90</v>
      </c>
    </row>
    <row r="44">
      <c r="A44" t="inlineStr" s="22">
        <is>
          <t xml:space="preserve">Operating expenses</t>
        </is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f>'Model inputs'!L88+'Model inputs'!L79+'Model inputs'!L112+'Model inputs'!L49</f>
        <v>356.25</v>
      </c>
      <c r="M44" s="9">
        <f>'Model inputs'!M88+'Model inputs'!M79+'Model inputs'!M112+'Model inputs'!M49</f>
        <v>356.25</v>
      </c>
      <c r="N44" s="9">
        <f>'Model inputs'!N88+'Model inputs'!N79+'Model inputs'!N112+'Model inputs'!N49</f>
        <v>356.25</v>
      </c>
      <c r="O44" s="9">
        <f>'Model inputs'!O88+'Model inputs'!O79+'Model inputs'!O112+'Model inputs'!O49</f>
        <v>2356.25</v>
      </c>
      <c r="P44" s="9">
        <f>'Model inputs'!P88+'Model inputs'!P79+'Model inputs'!P112+'Model inputs'!P49</f>
        <v>2356.25</v>
      </c>
      <c r="Q44" s="9">
        <f>'Model inputs'!Q88+'Model inputs'!Q79+'Model inputs'!Q112+'Model inputs'!Q49</f>
        <v>2356.25</v>
      </c>
      <c r="R44" s="9">
        <f>'Model inputs'!R88+'Model inputs'!R79+'Model inputs'!R112+'Model inputs'!R49</f>
        <v>2356.25</v>
      </c>
      <c r="S44" s="9">
        <f>'Model inputs'!S88+'Model inputs'!S79+'Model inputs'!S112+'Model inputs'!S49</f>
        <v>2356.25</v>
      </c>
      <c r="T44" s="9">
        <f>'Model inputs'!T88+'Model inputs'!T79+'Model inputs'!T112+'Model inputs'!T49</f>
        <v>2356.25</v>
      </c>
      <c r="U44" s="9">
        <f>'Model inputs'!U88+'Model inputs'!U79+'Model inputs'!U112+'Model inputs'!U49</f>
        <v>2356.25</v>
      </c>
      <c r="V44" s="9">
        <f>'Model inputs'!V88+'Model inputs'!V79+'Model inputs'!V112+'Model inputs'!V49</f>
        <v>2356.25</v>
      </c>
      <c r="W44" s="9">
        <f>'Model inputs'!W88+'Model inputs'!W79+'Model inputs'!W112+'Model inputs'!W49</f>
        <v>2356.25</v>
      </c>
      <c r="X44" s="9">
        <f>'Model inputs'!X88+'Model inputs'!X79+'Model inputs'!X112+'Model inputs'!X49</f>
        <v>2356.25</v>
      </c>
      <c r="Y44" s="9">
        <f>'Model inputs'!Y88+'Model inputs'!Y79+'Model inputs'!Y112+'Model inputs'!Y49</f>
        <v>2356.25</v>
      </c>
      <c r="Z44" s="9">
        <f>'Model inputs'!Z88+'Model inputs'!Z79+'Model inputs'!Z112+'Model inputs'!Z49</f>
        <v>2356.25</v>
      </c>
      <c r="AA44" s="9">
        <f>'Model inputs'!AA88+'Model inputs'!AA79+'Model inputs'!AA112+'Model inputs'!AA49</f>
        <v>2356.25</v>
      </c>
      <c r="AB44" s="9">
        <f>'Model inputs'!AB88+'Model inputs'!AB79+'Model inputs'!AB112+'Model inputs'!AB49</f>
        <v>2356.25</v>
      </c>
      <c r="AC44" s="9">
        <f>'Model inputs'!AC88+'Model inputs'!AC79+'Model inputs'!AC112+'Model inputs'!AC49</f>
        <v>2356.25</v>
      </c>
      <c r="AD44" s="9">
        <f>'Model inputs'!AD88+'Model inputs'!AD79+'Model inputs'!AD112+'Model inputs'!AD49</f>
        <v>2356.25</v>
      </c>
      <c r="AE44" s="9">
        <f>'Model inputs'!AE88+'Model inputs'!AE79+'Model inputs'!AE112+'Model inputs'!AE49</f>
        <v>2356.25</v>
      </c>
      <c r="AF44" s="9">
        <f>'Model inputs'!AF88+'Model inputs'!AF79+'Model inputs'!AF112+'Model inputs'!AF49</f>
        <v>2356.25</v>
      </c>
      <c r="AG44" s="9">
        <f>'Model inputs'!AG88+'Model inputs'!AG79+'Model inputs'!AG112+'Model inputs'!AG49</f>
        <v>2356.25</v>
      </c>
      <c r="AH44" s="9">
        <f>'Model inputs'!AH88+'Model inputs'!AH79+'Model inputs'!AH112+'Model inputs'!AH49</f>
        <v>2356.25</v>
      </c>
      <c r="AI44" s="9">
        <f>'Model inputs'!AI88+'Model inputs'!AI79+'Model inputs'!AI112+'Model inputs'!AI49</f>
        <v>2356.25</v>
      </c>
    </row>
    <row r="45">
      <c r="A45" t="inlineStr" s="22">
        <is>
          <t xml:space="preserve">Operating profit · Bad Reliability</t>
        </is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f>'Model inputs'!L30-'Model inputs'!L123</f>
        <v>-156.61200000000002</v>
      </c>
      <c r="M45" s="9">
        <f>'Model inputs'!M30-'Model inputs'!M123</f>
        <v>-120.39908000000003</v>
      </c>
      <c r="N45" s="9">
        <f>'Model inputs'!N30-'Model inputs'!N123</f>
        <v>-86.19249519999994</v>
      </c>
      <c r="O45" s="9">
        <f>'Model inputs'!O30-'Model inputs'!O123</f>
        <v>-2053.880187488</v>
      </c>
      <c r="P45" s="9">
        <f>'Model inputs'!P30-'Model inputs'!P123</f>
        <v>-2023.35640613872</v>
      </c>
      <c r="Q45" s="9">
        <f>'Model inputs'!Q30-'Model inputs'!Q123</f>
        <v>-1994.521350175397</v>
      </c>
      <c r="R45" s="9">
        <f>'Model inputs'!R30-'Model inputs'!R123</f>
        <v>-1967.280831149623</v>
      </c>
      <c r="S45" s="9">
        <f>'Model inputs'!S30-'Model inputs'!S123</f>
        <v>-1941.5459551661581</v>
      </c>
      <c r="T45" s="9">
        <f>'Model inputs'!T30-'Model inputs'!T123</f>
        <v>-1917.2328230474254</v>
      </c>
      <c r="U45" s="9">
        <f>'Model inputs'!U30-'Model inputs'!U123</f>
        <v>-1894.262247596255</v>
      </c>
      <c r="V45" s="9">
        <f>'Model inputs'!V30-'Model inputs'!V123</f>
        <v>-1872.559486975571</v>
      </c>
      <c r="W45" s="9">
        <f>'Model inputs'!W30-'Model inputs'!W123</f>
        <v>-1852.053993280373</v>
      </c>
      <c r="X45" s="9">
        <f>'Model inputs'!X30-'Model inputs'!X123</f>
        <v>-1832.679175430721</v>
      </c>
      <c r="Y45" s="9">
        <f>'Model inputs'!Y30-'Model inputs'!Y123</f>
        <v>-1814.372175564689</v>
      </c>
      <c r="Z45" s="9">
        <f>'Model inputs'!Z30-'Model inputs'!Z123</f>
        <v>-1797.0736581576284</v>
      </c>
      <c r="AA45" s="9">
        <f>'Model inputs'!AA30-'Model inputs'!AA123</f>
        <v>-1780.7276111386507</v>
      </c>
      <c r="AB45" s="9">
        <f>'Model inputs'!AB30-'Model inputs'!AB123</f>
        <v>-1765.2811583172875</v>
      </c>
      <c r="AC45" s="9">
        <f>'Model inputs'!AC30-'Model inputs'!AC123</f>
        <v>-1750.684382472858</v>
      </c>
      <c r="AD45" s="9">
        <f>'Model inputs'!AD30-'Model inputs'!AD123</f>
        <v>-1736.8901584963642</v>
      </c>
      <c r="AE45" s="9">
        <f>'Model inputs'!AE30-'Model inputs'!AE123</f>
        <v>-1723.853996009866</v>
      </c>
      <c r="AF45" s="9">
        <f>'Model inputs'!AF30-'Model inputs'!AF123</f>
        <v>-1711.5338909213935</v>
      </c>
      <c r="AG45" s="9">
        <f>'Model inputs'!AG30-'Model inputs'!AG123</f>
        <v>-1699.8901854046235</v>
      </c>
      <c r="AH45" s="9">
        <f>'Model inputs'!AH30-'Model inputs'!AH123</f>
        <v>-1688.8854358219337</v>
      </c>
      <c r="AI45" s="9">
        <f>'Model inputs'!AI30-'Model inputs'!AI123</f>
        <v>-1678.4842881371264</v>
      </c>
    </row>
    <row r="46">
      <c r="A46" t="inlineStr" s="22">
        <is>
          <t xml:space="preserve">Operating profit · Growth</t>
        </is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f>'Model inputs'!L31-'Model inputs'!L124</f>
        <v>-120.82799999999997</v>
      </c>
      <c r="M46" s="9">
        <f>'Model inputs'!M31-'Model inputs'!M124</f>
        <v>163.65546500000028</v>
      </c>
      <c r="N46" s="9">
        <f>'Model inputs'!N31-'Model inputs'!N124</f>
        <v>443.3346821250002</v>
      </c>
      <c r="O46" s="9">
        <f>'Model inputs'!O31-'Model inputs'!O124</f>
        <v>-1281.7075449888746</v>
      </c>
      <c r="P46" s="9">
        <f>'Model inputs'!P31-'Model inputs'!P124</f>
        <v>-1011.3898695584021</v>
      </c>
      <c r="Q46" s="9">
        <f>'Model inputs'!Q31-'Model inputs'!Q124</f>
        <v>-745.6323755044982</v>
      </c>
      <c r="R46" s="9">
        <f>'Model inputs'!R31-'Model inputs'!R124</f>
        <v>-484.35655178161414</v>
      </c>
      <c r="S46" s="9">
        <f>'Model inputs'!S31-'Model inputs'!S124</f>
        <v>-227.4852671763797</v>
      </c>
      <c r="T46" s="9">
        <f>'Model inputs'!T31-'Model inputs'!T124</f>
        <v>25.0572544332058</v>
      </c>
      <c r="U46" s="9">
        <f>'Model inputs'!U31-'Model inputs'!U124</f>
        <v>273.34545836660936</v>
      </c>
      <c r="V46" s="9">
        <f>'Model inputs'!V31-'Model inputs'!V124</f>
        <v>517.4524829860138</v>
      </c>
      <c r="W46" s="9">
        <f>'Model inputs'!W31-'Model inputs'!W124</f>
        <v>757.4501831062285</v>
      </c>
      <c r="X46" s="9">
        <f>'Model inputs'!X31-'Model inputs'!X124</f>
        <v>993.4091529773405</v>
      </c>
      <c r="Y46" s="9">
        <f>'Model inputs'!Y31-'Model inputs'!Y124</f>
        <v>1225.3987488480311</v>
      </c>
      <c r="Z46" s="9">
        <f>'Model inputs'!Z31-'Model inputs'!Z124</f>
        <v>1453.4871111173543</v>
      </c>
      <c r="AA46" s="9">
        <f>'Model inputs'!AA31-'Model inputs'!AA124</f>
        <v>1677.7411860825978</v>
      </c>
      <c r="AB46" s="9">
        <f>'Model inputs'!AB31-'Model inputs'!AB124</f>
        <v>1898.2267472907206</v>
      </c>
      <c r="AC46" s="9">
        <f>'Model inputs'!AC31-'Model inputs'!AC124</f>
        <v>2115.0084165007356</v>
      </c>
      <c r="AD46" s="9">
        <f>'Model inputs'!AD31-'Model inputs'!AD124</f>
        <v>2328.1496842642136</v>
      </c>
      <c r="AE46" s="9">
        <f>'Model inputs'!AE31-'Model inputs'!AE124</f>
        <v>2537.712930131018</v>
      </c>
      <c r="AF46" s="9">
        <f>'Model inputs'!AF31-'Model inputs'!AF124</f>
        <v>2743.759442487207</v>
      </c>
      <c r="AG46" s="9">
        <f>'Model inputs'!AG31-'Model inputs'!AG124</f>
        <v>2946.349438031888</v>
      </c>
      <c r="AH46" s="9">
        <f>'Model inputs'!AH31-'Model inputs'!AH124</f>
        <v>3145.5420808997605</v>
      </c>
      <c r="AI46" s="9">
        <f>'Model inputs'!AI31-'Model inputs'!AI124</f>
        <v>3341.395501435847</v>
      </c>
    </row>
    <row r="47">
      <c r="A47" t="inlineStr" s="22">
        <is>
          <t xml:space="preserve">Operating profit · Main Scenario</t>
        </is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f>'Model inputs'!L32-'Model inputs'!L44</f>
        <v>38.950500000000034</v>
      </c>
      <c r="M47" s="9">
        <f>'Model inputs'!M32-'Model inputs'!M44</f>
        <v>115.80630499999995</v>
      </c>
      <c r="N47" s="9">
        <f>'Model inputs'!N32-'Model inputs'!N44</f>
        <v>190.81489944999998</v>
      </c>
      <c r="O47" s="9">
        <f>'Model inputs'!O32-'Model inputs'!O44</f>
        <v>-1735.9774696055001</v>
      </c>
      <c r="P47" s="9">
        <f>'Model inputs'!P32-'Model inputs'!P44</f>
        <v>-1664.525759147895</v>
      </c>
      <c r="Q47" s="9">
        <f>'Model inputs'!Q32-'Model inputs'!Q44</f>
        <v>-1594.7860977314072</v>
      </c>
      <c r="R47" s="9">
        <f>'Model inputs'!R32-'Model inputs'!R44</f>
        <v>-1526.7157539302548</v>
      </c>
      <c r="S47" s="9">
        <f>'Model inputs'!S32-'Model inputs'!S44</f>
        <v>-1460.273105660521</v>
      </c>
      <c r="T47" s="9">
        <f>'Model inputs'!T32-'Model inputs'!T44</f>
        <v>-1395.4176103519158</v>
      </c>
      <c r="U47" s="9">
        <f>'Model inputs'!U32-'Model inputs'!U44</f>
        <v>-1332.1097759453446</v>
      </c>
      <c r="V47" s="9">
        <f>'Model inputs'!V32-'Model inputs'!V44</f>
        <v>-1270.311132692891</v>
      </c>
      <c r="W47" s="9">
        <f>'Model inputs'!W32-'Model inputs'!W44</f>
        <v>-1209.9842057374926</v>
      </c>
      <c r="X47" s="9">
        <f>'Model inputs'!X32-'Model inputs'!X44</f>
        <v>-1151.0924884502483</v>
      </c>
      <c r="Y47" s="9">
        <f>'Model inputs'!Y32-'Model inputs'!Y44</f>
        <v>-1093.600416503924</v>
      </c>
      <c r="Z47" s="9">
        <f>'Model inputs'!Z32-'Model inputs'!Z44</f>
        <v>-1037.473342661846</v>
      </c>
      <c r="AA47" s="9">
        <f>'Model inputs'!AA32-'Model inputs'!AA44</f>
        <v>-982.6775122619695</v>
      </c>
      <c r="AB47" s="9">
        <f>'Model inputs'!AB32-'Model inputs'!AB44</f>
        <v>-929.1800393764893</v>
      </c>
      <c r="AC47" s="9">
        <f>'Model inputs'!AC32-'Model inputs'!AC44</f>
        <v>-876.9488836279259</v>
      </c>
      <c r="AD47" s="9">
        <f>'Model inputs'!AD32-'Model inputs'!AD44</f>
        <v>-825.9528276431647</v>
      </c>
      <c r="AE47" s="9">
        <f>'Model inputs'!AE32-'Model inputs'!AE44</f>
        <v>-776.1614551274652</v>
      </c>
      <c r="AF47" s="9">
        <f>'Model inputs'!AF32-'Model inputs'!AF44</f>
        <v>-727.5451295409648</v>
      </c>
      <c r="AG47" s="9">
        <f>'Model inputs'!AG32-'Model inputs'!AG44</f>
        <v>-680.0749733607126</v>
      </c>
      <c r="AH47" s="9">
        <f>'Model inputs'!AH32-'Model inputs'!AH44</f>
        <v>-633.7228479117487</v>
      </c>
      <c r="AI47" s="9">
        <f>'Model inputs'!AI32-'Model inputs'!AI44</f>
        <v>-588.4613337512167</v>
      </c>
    </row>
    <row r="48">
      <c r="A48" t="inlineStr" s="22">
        <is>
          <t xml:space="preserve">Other monthly overhead</t>
        </is>
      </c>
      <c r="B48" s="9">
        <f>'SwapDesk — Assumptions · Commer'!B14</f>
        <v>150</v>
      </c>
    </row>
    <row r="49">
      <c r="A49" t="inlineStr" s="22">
        <is>
          <t xml:space="preserve">Other overhead</t>
        </is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f>IF('Model inputs'!B48="","",'Model inputs'!B48)</f>
        <v>150</v>
      </c>
      <c r="M49" s="9">
        <f>IF('Model inputs'!B48="","",'Model inputs'!B48)</f>
        <v>150</v>
      </c>
      <c r="N49" s="9">
        <f>IF('Model inputs'!B48="","",'Model inputs'!B48)</f>
        <v>150</v>
      </c>
      <c r="O49" s="9">
        <f>IF('Model inputs'!B48="","",'Model inputs'!B48)</f>
        <v>150</v>
      </c>
      <c r="P49" s="9">
        <f>IF('Model inputs'!B48="","",'Model inputs'!B48)</f>
        <v>150</v>
      </c>
      <c r="Q49" s="9">
        <f>IF('Model inputs'!B48="","",'Model inputs'!B48)</f>
        <v>150</v>
      </c>
      <c r="R49" s="9">
        <f>IF('Model inputs'!B48="","",'Model inputs'!B48)</f>
        <v>150</v>
      </c>
      <c r="S49" s="9">
        <f>IF('Model inputs'!B48="","",'Model inputs'!B48)</f>
        <v>150</v>
      </c>
      <c r="T49" s="9">
        <f>IF('Model inputs'!B48="","",'Model inputs'!B48)</f>
        <v>150</v>
      </c>
      <c r="U49" s="9">
        <f>IF('Model inputs'!B48="","",'Model inputs'!B48)</f>
        <v>150</v>
      </c>
      <c r="V49" s="9">
        <f>IF('Model inputs'!B48="","",'Model inputs'!B48)</f>
        <v>150</v>
      </c>
      <c r="W49" s="9">
        <f>IF('Model inputs'!B48="","",'Model inputs'!B48)</f>
        <v>150</v>
      </c>
      <c r="X49" s="9">
        <f>IF('Model inputs'!B48="","",'Model inputs'!B48)</f>
        <v>150</v>
      </c>
      <c r="Y49" s="9">
        <f>IF('Model inputs'!B48="","",'Model inputs'!B48)</f>
        <v>150</v>
      </c>
      <c r="Z49" s="9">
        <f>IF('Model inputs'!B48="","",'Model inputs'!B48)</f>
        <v>150</v>
      </c>
      <c r="AA49" s="9">
        <f>IF('Model inputs'!B48="","",'Model inputs'!B48)</f>
        <v>150</v>
      </c>
      <c r="AB49" s="9">
        <f>IF('Model inputs'!B48="","",'Model inputs'!B48)</f>
        <v>150</v>
      </c>
      <c r="AC49" s="9">
        <f>IF('Model inputs'!B48="","",'Model inputs'!B48)</f>
        <v>150</v>
      </c>
      <c r="AD49" s="9">
        <f>IF('Model inputs'!B48="","",'Model inputs'!B48)</f>
        <v>150</v>
      </c>
      <c r="AE49" s="9">
        <f>IF('Model inputs'!B48="","",'Model inputs'!B48)</f>
        <v>150</v>
      </c>
      <c r="AF49" s="9">
        <f>IF('Model inputs'!B48="","",'Model inputs'!B48)</f>
        <v>150</v>
      </c>
      <c r="AG49" s="9">
        <f>IF('Model inputs'!B48="","",'Model inputs'!B48)</f>
        <v>150</v>
      </c>
      <c r="AH49" s="9">
        <f>IF('Model inputs'!B48="","",'Model inputs'!B48)</f>
        <v>150</v>
      </c>
      <c r="AI49" s="9">
        <f>IF('Model inputs'!B48="","",'Model inputs'!B48)</f>
        <v>150</v>
      </c>
    </row>
    <row r="50">
      <c r="A50" t="inlineStr" s="22">
        <is>
          <t xml:space="preserve">Overage price · SwapDesk — Operations · Merchant and execution forecast</t>
        </is>
      </c>
      <c r="B50" s="9">
        <f>'SwapDesk — Assumptions · Commer'!B7</f>
        <v>0.5</v>
      </c>
    </row>
    <row r="51">
      <c r="A51" t="inlineStr" s="22">
        <is>
          <t xml:space="preserve">Planned annual compensation</t>
        </is>
      </c>
      <c r="B51" s="10">
        <f>IF('Model inputs'!AJ69="","",'Model inputs'!AJ69)</f>
        <v>24000</v>
      </c>
    </row>
    <row r="52" outlineLevel="1">
      <c r="A52" t="inlineStr" s="23">
        <is>
          <t xml:space="preserve">Planned annual compensation &gt; Placeholder founder 1</t>
        </is>
      </c>
      <c r="B52" s="8">
        <f>IF('Model inputs'!AJ69="","",'Model inputs'!AJ69)</f>
        <v>24000</v>
      </c>
    </row>
    <row r="53">
      <c r="A53" t="inlineStr" s="22">
        <is>
          <t xml:space="preserve">Revenue · Bad Reliability</t>
        </is>
      </c>
      <c r="C53" s="9">
        <f>SUM('Model inputs'!C126,'Model inputs'!C127)</f>
        <v>0</v>
      </c>
      <c r="D53" s="9">
        <f>SUM('Model inputs'!D126,'Model inputs'!D127)</f>
        <v>0</v>
      </c>
      <c r="E53" s="9">
        <f>SUM('Model inputs'!E126,'Model inputs'!E127)</f>
        <v>0</v>
      </c>
      <c r="F53" s="9">
        <f>SUM('Model inputs'!F126,'Model inputs'!F127)</f>
        <v>0</v>
      </c>
      <c r="G53" s="9">
        <f>SUM('Model inputs'!G126,'Model inputs'!G127)</f>
        <v>0</v>
      </c>
      <c r="H53" s="9">
        <f>SUM('Model inputs'!H126,'Model inputs'!H127)</f>
        <v>0</v>
      </c>
      <c r="I53" s="9">
        <f>SUM('Model inputs'!I126,'Model inputs'!I127)</f>
        <v>0</v>
      </c>
      <c r="J53" s="9">
        <f>SUM('Model inputs'!J126,'Model inputs'!J127)</f>
        <v>0</v>
      </c>
      <c r="K53" s="9">
        <f>SUM('Model inputs'!K126,'Model inputs'!K127)</f>
        <v>0</v>
      </c>
      <c r="L53" s="9">
        <f>SUM('Model inputs'!L126,'Model inputs'!L127)</f>
        <v>492.9</v>
      </c>
      <c r="M53" s="9">
        <f>SUM('Model inputs'!M126,'Model inputs'!M127)</f>
        <v>558.962</v>
      </c>
      <c r="N53" s="9">
        <f>SUM('Model inputs'!N126,'Model inputs'!N127)</f>
        <v>621.3984800000001</v>
      </c>
      <c r="O53" s="9">
        <f>SUM('Model inputs'!O126,'Model inputs'!O127)</f>
        <v>680.4100612</v>
      </c>
      <c r="P53" s="9">
        <f>SUM('Model inputs'!P126,'Model inputs'!P127)</f>
        <v>736.186173028</v>
      </c>
      <c r="Q53" s="9">
        <f>SUM('Model inputs'!Q126,'Model inputs'!Q127)</f>
        <v>788.9056823713199</v>
      </c>
      <c r="R53" s="9">
        <f>SUM('Model inputs'!R126,'Model inputs'!R127)</f>
        <v>838.7374871677907</v>
      </c>
      <c r="S53" s="9">
        <f>SUM('Model inputs'!S126,'Model inputs'!S127)</f>
        <v>885.8410763895358</v>
      </c>
      <c r="T53" s="9">
        <f>SUM('Model inputs'!T126,'Model inputs'!T127)</f>
        <v>930.3670583353855</v>
      </c>
      <c r="U53" s="9">
        <f>SUM('Model inputs'!U126,'Model inputs'!U127)</f>
        <v>972.4576590380232</v>
      </c>
      <c r="V53" s="9">
        <f>SUM('Model inputs'!V126,'Model inputs'!V127)</f>
        <v>1012.2471924883646</v>
      </c>
      <c r="W53" s="9">
        <f>SUM('Model inputs'!W126,'Model inputs'!W127)</f>
        <v>1049.8625042820545</v>
      </c>
      <c r="X53" s="9">
        <f>SUM('Model inputs'!X126,'Model inputs'!X127)</f>
        <v>1085.423390200973</v>
      </c>
      <c r="Y53" s="9">
        <f>SUM('Model inputs'!Y126,'Model inputs'!Y127)</f>
        <v>1119.0429911559645</v>
      </c>
      <c r="Z53" s="9">
        <f>SUM('Model inputs'!Z126,'Model inputs'!Z127)</f>
        <v>1150.8281658353042</v>
      </c>
      <c r="AA53" s="9">
        <f>SUM('Model inputs'!AA126,'Model inputs'!AA127)</f>
        <v>1180.8798423264484</v>
      </c>
      <c r="AB53" s="9">
        <f>SUM('Model inputs'!AB126,'Model inputs'!AB127)</f>
        <v>1209.293349906061</v>
      </c>
      <c r="AC53" s="9">
        <f>SUM('Model inputs'!AC126,'Model inputs'!AC127)</f>
        <v>1236.1587321249367</v>
      </c>
      <c r="AD53" s="9">
        <f>SUM('Model inputs'!AD126,'Model inputs'!AD127)</f>
        <v>1261.561042250018</v>
      </c>
      <c r="AE53" s="9">
        <f>SUM('Model inputs'!AE126,'Model inputs'!AE127)</f>
        <v>1285.5806220649656</v>
      </c>
      <c r="AF53" s="9">
        <f>SUM('Model inputs'!AF126,'Model inputs'!AF127)</f>
        <v>1308.293364973519</v>
      </c>
      <c r="AG53" s="9">
        <f>SUM('Model inputs'!AG126,'Model inputs'!AG127)</f>
        <v>1329.7709642959364</v>
      </c>
      <c r="AH53" s="9">
        <f>SUM('Model inputs'!AH126,'Model inputs'!AH127)</f>
        <v>1350.0811475979676</v>
      </c>
      <c r="AI53" s="9">
        <f>SUM('Model inputs'!AI126,'Model inputs'!AI127)</f>
        <v>1369.2878978438873</v>
      </c>
    </row>
    <row r="54">
      <c r="A54" t="inlineStr" s="22">
        <is>
          <t xml:space="preserve">Revenue · Growth</t>
        </is>
      </c>
      <c r="C54" s="9">
        <f>SUM('Model inputs'!C129,'Model inputs'!C130)</f>
        <v>0</v>
      </c>
      <c r="D54" s="9">
        <f>SUM('Model inputs'!D129,'Model inputs'!D130)</f>
        <v>0</v>
      </c>
      <c r="E54" s="9">
        <f>SUM('Model inputs'!E129,'Model inputs'!E130)</f>
        <v>0</v>
      </c>
      <c r="F54" s="9">
        <f>SUM('Model inputs'!F129,'Model inputs'!F130)</f>
        <v>0</v>
      </c>
      <c r="G54" s="9">
        <f>SUM('Model inputs'!G129,'Model inputs'!G130)</f>
        <v>0</v>
      </c>
      <c r="H54" s="9">
        <f>SUM('Model inputs'!H129,'Model inputs'!H130)</f>
        <v>0</v>
      </c>
      <c r="I54" s="9">
        <f>SUM('Model inputs'!I129,'Model inputs'!I130)</f>
        <v>0</v>
      </c>
      <c r="J54" s="9">
        <f>SUM('Model inputs'!J129,'Model inputs'!J130)</f>
        <v>0</v>
      </c>
      <c r="K54" s="9">
        <f>SUM('Model inputs'!K129,'Model inputs'!K130)</f>
        <v>0</v>
      </c>
      <c r="L54" s="9">
        <f>SUM('Model inputs'!L129,'Model inputs'!L130)</f>
        <v>904.13</v>
      </c>
      <c r="M54" s="9">
        <f>SUM('Model inputs'!M129,'Model inputs'!M130)</f>
        <v>1259.1325500000003</v>
      </c>
      <c r="N54" s="9">
        <f>SUM('Model inputs'!N129,'Model inputs'!N130)</f>
        <v>1608.11377175</v>
      </c>
      <c r="O54" s="9">
        <f>SUM('Model inputs'!O129,'Model inputs'!O130)</f>
        <v>1951.1779109737504</v>
      </c>
      <c r="P54" s="9">
        <f>SUM('Model inputs'!P129,'Model inputs'!P130)</f>
        <v>2288.4273711931437</v>
      </c>
      <c r="Q54" s="9">
        <f>SUM('Model inputs'!Q129,'Model inputs'!Q130)</f>
        <v>2619.962746931567</v>
      </c>
      <c r="R54" s="9">
        <f>SUM('Model inputs'!R129,'Model inputs'!R130)</f>
        <v>2945.882856307787</v>
      </c>
      <c r="S54" s="9">
        <f>SUM('Model inputs'!S129,'Model inputs'!S130)</f>
        <v>3266.28477303176</v>
      </c>
      <c r="T54" s="9">
        <f>SUM('Model inputs'!T129,'Model inputs'!T130)</f>
        <v>3581.263857813501</v>
      </c>
      <c r="U54" s="9">
        <f>SUM('Model inputs'!U129,'Model inputs'!U130)</f>
        <v>3890.9137891959726</v>
      </c>
      <c r="V54" s="9">
        <f>SUM('Model inputs'!V129,'Model inputs'!V130)</f>
        <v>4195.326593822713</v>
      </c>
      <c r="W54" s="9">
        <f>SUM('Model inputs'!W129,'Model inputs'!W130)</f>
        <v>4494.592676150759</v>
      </c>
      <c r="X54" s="9">
        <f>SUM('Model inputs'!X129,'Model inputs'!X130)</f>
        <v>4788.800847619176</v>
      </c>
      <c r="Y54" s="9">
        <f>SUM('Model inputs'!Y129,'Model inputs'!Y130)</f>
        <v>5078.038355283354</v>
      </c>
      <c r="Z54" s="9">
        <f>SUM('Model inputs'!Z129,'Model inputs'!Z130)</f>
        <v>5362.390909924999</v>
      </c>
      <c r="AA54" s="9">
        <f>SUM('Model inputs'!AA129,'Model inputs'!AA130)</f>
        <v>5641.942713647602</v>
      </c>
      <c r="AB54" s="9">
        <f>SUM('Model inputs'!AB129,'Model inputs'!AB130)</f>
        <v>5916.776486966936</v>
      </c>
      <c r="AC54" s="9">
        <f>SUM('Model inputs'!AC129,'Model inputs'!AC130)</f>
        <v>6186.973495405999</v>
      </c>
      <c r="AD54" s="9">
        <f>SUM('Model inputs'!AD129,'Model inputs'!AD130)</f>
        <v>6452.613575603606</v>
      </c>
      <c r="AE54" s="9">
        <f>SUM('Model inputs'!AE129,'Model inputs'!AE130)</f>
        <v>6713.775160945673</v>
      </c>
      <c r="AF54" s="9">
        <f>SUM('Model inputs'!AF129,'Model inputs'!AF130)</f>
        <v>6970.5353067280885</v>
      </c>
      <c r="AG54" s="9">
        <f>SUM('Model inputs'!AG129,'Model inputs'!AG130)</f>
        <v>7222.969714859834</v>
      </c>
      <c r="AH54" s="9">
        <f>SUM('Model inputs'!AH129,'Model inputs'!AH130)</f>
        <v>7471.152758114951</v>
      </c>
      <c r="AI54" s="9">
        <f>SUM('Model inputs'!AI129,'Model inputs'!AI130)</f>
        <v>7715.157503941681</v>
      </c>
    </row>
    <row r="55">
      <c r="A55" t="inlineStr" s="22">
        <is>
          <t xml:space="preserve">Revenue</t>
        </is>
      </c>
      <c r="C55" s="6">
        <f>SUM('Model inputs'!C56,'Model inputs'!C57)</f>
        <v>0</v>
      </c>
      <c r="D55" s="6">
        <f>SUM('Model inputs'!D56,'Model inputs'!D57)</f>
        <v>0</v>
      </c>
      <c r="E55" s="6">
        <f>SUM('Model inputs'!E56,'Model inputs'!E57)</f>
        <v>0</v>
      </c>
      <c r="F55" s="6">
        <f>SUM('Model inputs'!F56,'Model inputs'!F57)</f>
        <v>0</v>
      </c>
      <c r="G55" s="6">
        <f>SUM('Model inputs'!G56,'Model inputs'!G57)</f>
        <v>0</v>
      </c>
      <c r="H55" s="6">
        <f>SUM('Model inputs'!H56,'Model inputs'!H57)</f>
        <v>0</v>
      </c>
      <c r="I55" s="6">
        <f>SUM('Model inputs'!I56,'Model inputs'!I57)</f>
        <v>0</v>
      </c>
      <c r="J55" s="6">
        <f>SUM('Model inputs'!J56,'Model inputs'!J57)</f>
        <v>0</v>
      </c>
      <c r="K55" s="6">
        <f>SUM('Model inputs'!K56,'Model inputs'!K57)</f>
        <v>0</v>
      </c>
      <c r="L55" s="6">
        <f>SUM('Model inputs'!L56,'Model inputs'!L57)</f>
        <v>603.99</v>
      </c>
      <c r="M55" s="6">
        <f>SUM('Model inputs'!M56,'Model inputs'!M57)</f>
        <v>702.5437</v>
      </c>
      <c r="N55" s="6">
        <f>SUM('Model inputs'!N56,'Model inputs'!N57)</f>
        <v>798.722321</v>
      </c>
      <c r="O55" s="6">
        <f>SUM('Model inputs'!O56,'Model inputs'!O57)</f>
        <v>892.58548473</v>
      </c>
      <c r="P55" s="6">
        <f>SUM('Model inputs'!P56,'Model inputs'!P57)</f>
        <v>984.1912568808999</v>
      </c>
      <c r="Q55" s="6">
        <f>SUM('Model inputs'!Q56,'Model inputs'!Q57)</f>
        <v>1073.5961891334168</v>
      </c>
      <c r="R55" s="6">
        <f>SUM('Model inputs'!R56,'Model inputs'!R57)</f>
        <v>1160.8553600191794</v>
      </c>
      <c r="S55" s="6">
        <f>SUM('Model inputs'!S56,'Model inputs'!S57)</f>
        <v>1246.022414647174</v>
      </c>
      <c r="T55" s="6">
        <f>SUM('Model inputs'!T56,'Model inputs'!T57)</f>
        <v>1329.1496033277572</v>
      </c>
      <c r="U55" s="6">
        <f>SUM('Model inputs'!U56,'Model inputs'!U57)</f>
        <v>1410.2878191255231</v>
      </c>
      <c r="V55" s="6">
        <f>SUM('Model inputs'!V56,'Model inputs'!V57)</f>
        <v>1489.4866343714039</v>
      </c>
      <c r="W55" s="6">
        <f>SUM('Model inputs'!W56,'Model inputs'!W57)</f>
        <v>1566.7943361635153</v>
      </c>
      <c r="X55" s="6">
        <f>SUM('Model inputs'!X56,'Model inputs'!X57)</f>
        <v>1642.2579608853985</v>
      </c>
      <c r="Y55" s="6">
        <f>SUM('Model inputs'!Y56,'Model inputs'!Y57)</f>
        <v>1715.9233277694893</v>
      </c>
      <c r="Z55" s="6">
        <f>SUM('Model inputs'!Z56,'Model inputs'!Z57)</f>
        <v>1787.835071532844</v>
      </c>
      <c r="AA55" s="6">
        <f>SUM('Model inputs'!AA56,'Model inputs'!AA57)</f>
        <v>1858.0366741113694</v>
      </c>
      <c r="AB55" s="6">
        <f>SUM('Model inputs'!AB56,'Model inputs'!AB57)</f>
        <v>1926.570495518049</v>
      </c>
      <c r="AC55" s="6">
        <f>SUM('Model inputs'!AC56,'Model inputs'!AC57)</f>
        <v>1993.477803849928</v>
      </c>
      <c r="AD55" s="6">
        <f>SUM('Model inputs'!AD56,'Model inputs'!AD57)</f>
        <v>2058.7988044679023</v>
      </c>
      <c r="AE55" s="6">
        <f>SUM('Model inputs'!AE56,'Model inputs'!AE57)</f>
        <v>2122.5726683726675</v>
      </c>
      <c r="AF55" s="6">
        <f>SUM('Model inputs'!AF56,'Model inputs'!AF57)</f>
        <v>2184.8375597995137</v>
      </c>
      <c r="AG55" s="6">
        <f>SUM('Model inputs'!AG56,'Model inputs'!AG57)</f>
        <v>2245.6306630539943</v>
      </c>
      <c r="AH55" s="6">
        <f>SUM('Model inputs'!AH56,'Model inputs'!AH57)</f>
        <v>2304.988208609871</v>
      </c>
      <c r="AI55" s="6">
        <f>SUM('Model inputs'!AI56,'Model inputs'!AI57)</f>
        <v>2362.9454984901213</v>
      </c>
    </row>
    <row r="56" outlineLevel="1">
      <c r="A56" t="inlineStr" s="23">
        <is>
          <t xml:space="preserve">Revenue &gt; Growing shop</t>
        </is>
      </c>
      <c r="C56" s="9">
        <f>0</f>
        <v>0</v>
      </c>
      <c r="D56" s="9">
        <f>0</f>
        <v>0</v>
      </c>
      <c r="E56" s="9">
        <f>0</f>
        <v>0</v>
      </c>
      <c r="F56" s="9">
        <f>0</f>
        <v>0</v>
      </c>
      <c r="G56" s="9">
        <f>0</f>
        <v>0</v>
      </c>
      <c r="H56" s="9">
        <f>0</f>
        <v>0</v>
      </c>
      <c r="I56" s="9">
        <f>0</f>
        <v>0</v>
      </c>
      <c r="J56" s="9">
        <f>0</f>
        <v>0</v>
      </c>
      <c r="K56" s="9">
        <f>'SwapDesk — Operations · Merchan'!B39</f>
        <v>0</v>
      </c>
      <c r="L56" s="9">
        <f>'Model inputs'!L92+'Model inputs'!L83</f>
        <v>317.34000000000003</v>
      </c>
      <c r="M56" s="9">
        <f>'Model inputs'!M92+'Model inputs'!M83</f>
        <v>375.4932</v>
      </c>
      <c r="N56" s="9">
        <f>'Model inputs'!N92+'Model inputs'!N83</f>
        <v>432.483336</v>
      </c>
      <c r="O56" s="9">
        <f>'Model inputs'!O92+'Model inputs'!O83</f>
        <v>488.33366928</v>
      </c>
      <c r="P56" s="9">
        <f>'Model inputs'!P92+'Model inputs'!P83</f>
        <v>543.0669958944</v>
      </c>
      <c r="Q56" s="9">
        <f>'Model inputs'!Q92+'Model inputs'!Q83</f>
        <v>596.7056559765119</v>
      </c>
      <c r="R56" s="9">
        <f>'Model inputs'!R92+'Model inputs'!R83</f>
        <v>649.2715428569817</v>
      </c>
      <c r="S56" s="9">
        <f>'Model inputs'!S92+'Model inputs'!S83</f>
        <v>700.7861119998421</v>
      </c>
      <c r="T56" s="9">
        <f>'Model inputs'!T92+'Model inputs'!T83</f>
        <v>751.2703897598453</v>
      </c>
      <c r="U56" s="9">
        <f>'Model inputs'!U92+'Model inputs'!U83</f>
        <v>800.7449819646483</v>
      </c>
      <c r="V56" s="9">
        <f>'Model inputs'!V92+'Model inputs'!V83</f>
        <v>849.2300823253554</v>
      </c>
      <c r="W56" s="9">
        <f>'Model inputs'!W92+'Model inputs'!W83</f>
        <v>896.7454806788483</v>
      </c>
      <c r="X56" s="9">
        <f>'Model inputs'!X92+'Model inputs'!X83</f>
        <v>943.3105710652713</v>
      </c>
      <c r="Y56" s="9">
        <f>'Model inputs'!Y92+'Model inputs'!Y83</f>
        <v>988.944359643966</v>
      </c>
      <c r="Z56" s="9">
        <f>'Model inputs'!Z92+'Model inputs'!Z83</f>
        <v>1033.6654724510865</v>
      </c>
      <c r="AA56" s="9">
        <f>'Model inputs'!AA92+'Model inputs'!AA83</f>
        <v>1077.4921630020647</v>
      </c>
      <c r="AB56" s="9">
        <f>'Model inputs'!AB92+'Model inputs'!AB83</f>
        <v>1120.4423197420235</v>
      </c>
      <c r="AC56" s="9">
        <f>'Model inputs'!AC92+'Model inputs'!AC83</f>
        <v>1162.533473347183</v>
      </c>
      <c r="AD56" s="9">
        <f>'Model inputs'!AD92+'Model inputs'!AD83</f>
        <v>1203.7828038802395</v>
      </c>
      <c r="AE56" s="9">
        <f>'Model inputs'!AE92+'Model inputs'!AE83</f>
        <v>1244.2071478026348</v>
      </c>
      <c r="AF56" s="9">
        <f>'Model inputs'!AF92+'Model inputs'!AF83</f>
        <v>1283.823004846582</v>
      </c>
      <c r="AG56" s="9">
        <f>'Model inputs'!AG92+'Model inputs'!AG83</f>
        <v>1322.6465447496505</v>
      </c>
      <c r="AH56" s="9">
        <f>'Model inputs'!AH92+'Model inputs'!AH83</f>
        <v>1360.6936138546575</v>
      </c>
      <c r="AI56" s="9">
        <f>'Model inputs'!AI92+'Model inputs'!AI83</f>
        <v>1397.9797415775643</v>
      </c>
    </row>
    <row r="57" outlineLevel="1">
      <c r="A57" t="inlineStr" s="23">
        <is>
          <t xml:space="preserve">Revenue &gt; Small shop</t>
        </is>
      </c>
      <c r="C57" s="9">
        <f>0</f>
        <v>0</v>
      </c>
      <c r="D57" s="9">
        <f>0</f>
        <v>0</v>
      </c>
      <c r="E57" s="9">
        <f>0</f>
        <v>0</v>
      </c>
      <c r="F57" s="9">
        <f>0</f>
        <v>0</v>
      </c>
      <c r="G57" s="9">
        <f>0</f>
        <v>0</v>
      </c>
      <c r="H57" s="9">
        <f>0</f>
        <v>0</v>
      </c>
      <c r="I57" s="9">
        <f>0</f>
        <v>0</v>
      </c>
      <c r="J57" s="9">
        <f>0</f>
        <v>0</v>
      </c>
      <c r="K57" s="9">
        <f>'SwapDesk — Operations · Merchan'!B40</f>
        <v>0</v>
      </c>
      <c r="L57" s="9">
        <f>'Model inputs'!L93+'Model inputs'!L84</f>
        <v>286.65</v>
      </c>
      <c r="M57" s="9">
        <f>'Model inputs'!M93+'Model inputs'!M84</f>
        <v>327.0505</v>
      </c>
      <c r="N57" s="9">
        <f>'Model inputs'!N93+'Model inputs'!N84</f>
        <v>366.238985</v>
      </c>
      <c r="O57" s="9">
        <f>'Model inputs'!O93+'Model inputs'!O84</f>
        <v>404.25181545</v>
      </c>
      <c r="P57" s="9">
        <f>'Model inputs'!P93+'Model inputs'!P84</f>
        <v>441.12426098649996</v>
      </c>
      <c r="Q57" s="9">
        <f>'Model inputs'!Q93+'Model inputs'!Q84</f>
        <v>476.89053315690495</v>
      </c>
      <c r="R57" s="9">
        <f>'Model inputs'!R93+'Model inputs'!R84</f>
        <v>511.5838171621978</v>
      </c>
      <c r="S57" s="9">
        <f>'Model inputs'!S93+'Model inputs'!S84</f>
        <v>545.2363026473319</v>
      </c>
      <c r="T57" s="9">
        <f>'Model inputs'!T93+'Model inputs'!T84</f>
        <v>577.879213567912</v>
      </c>
      <c r="U57" s="9">
        <f>'Model inputs'!U93+'Model inputs'!U84</f>
        <v>609.5428371608747</v>
      </c>
      <c r="V57" s="9">
        <f>'Model inputs'!V93+'Model inputs'!V84</f>
        <v>640.2565520460485</v>
      </c>
      <c r="W57" s="9">
        <f>'Model inputs'!W93+'Model inputs'!W84</f>
        <v>670.048855484667</v>
      </c>
      <c r="X57" s="9">
        <f>'Model inputs'!X93+'Model inputs'!X84</f>
        <v>698.947389820127</v>
      </c>
      <c r="Y57" s="9">
        <f>'Model inputs'!Y93+'Model inputs'!Y84</f>
        <v>726.9789681255232</v>
      </c>
      <c r="Z57" s="9">
        <f>'Model inputs'!Z93+'Model inputs'!Z84</f>
        <v>754.1695990817575</v>
      </c>
      <c r="AA57" s="9">
        <f>'Model inputs'!AA93+'Model inputs'!AA84</f>
        <v>780.5445111093047</v>
      </c>
      <c r="AB57" s="9">
        <f>'Model inputs'!AB93+'Model inputs'!AB84</f>
        <v>806.1281757760256</v>
      </c>
      <c r="AC57" s="9">
        <f>'Model inputs'!AC93+'Model inputs'!AC84</f>
        <v>830.944330502745</v>
      </c>
      <c r="AD57" s="9">
        <f>'Model inputs'!AD93+'Model inputs'!AD84</f>
        <v>855.0160005876626</v>
      </c>
      <c r="AE57" s="9">
        <f>'Model inputs'!AE93+'Model inputs'!AE84</f>
        <v>878.3655205700327</v>
      </c>
      <c r="AF57" s="9">
        <f>'Model inputs'!AF93+'Model inputs'!AF84</f>
        <v>901.0145549529317</v>
      </c>
      <c r="AG57" s="9">
        <f>'Model inputs'!AG93+'Model inputs'!AG84</f>
        <v>922.9841183043437</v>
      </c>
      <c r="AH57" s="9">
        <f>'Model inputs'!AH93+'Model inputs'!AH84</f>
        <v>944.2945947552136</v>
      </c>
      <c r="AI57" s="9">
        <f>'Model inputs'!AI93+'Model inputs'!AI84</f>
        <v>964.9657569125571</v>
      </c>
    </row>
    <row r="58">
      <c r="A58" t="inlineStr" s="22">
        <is>
          <t xml:space="preserve">Subscription price · SwapDesk — Operations · Merchant and execution forecast</t>
        </is>
      </c>
      <c r="B58" s="9">
        <f>'SwapDesk — Assumptions · Commer'!B5</f>
        <v>49</v>
      </c>
    </row>
    <row r="59">
      <c r="A59" t="inlineStr" s="22">
        <is>
          <t xml:space="preserve">Support minutes per store</t>
        </is>
      </c>
      <c r="B59" s="10">
        <v>0</v>
      </c>
    </row>
    <row r="60" outlineLevel="1">
      <c r="A60" t="inlineStr" s="23">
        <is>
          <t xml:space="preserve">Support minutes per store &gt; Growing shop</t>
        </is>
      </c>
      <c r="B60" s="8">
        <f>'SwapDesk — Assumptions · Mercha'!G5</f>
        <v>30</v>
      </c>
    </row>
    <row r="61" outlineLevel="1">
      <c r="A61" t="inlineStr" s="23">
        <is>
          <t xml:space="preserve">Support minutes per store &gt; Small shop</t>
        </is>
      </c>
      <c r="B61" s="8">
        <f>'SwapDesk — Assumptions · Mercha'!G6</f>
        <v>15</v>
      </c>
    </row>
    <row r="62">
      <c r="A62" t="inlineStr" s="22">
        <is>
          <t xml:space="preserve">Technical support hourly cost · SwapDesk — Operations · Merchant and execution forecast</t>
        </is>
      </c>
      <c r="B62" s="9">
        <f>'SwapDesk — Assumptions · Commer'!B9</f>
        <v>25</v>
      </c>
    </row>
    <row r="63">
      <c r="A63" t="inlineStr" s="22">
        <is>
          <t xml:space="preserve">Verified resolution rate</t>
        </is>
      </c>
      <c r="AJ63" s="11">
        <v>0</v>
      </c>
    </row>
    <row r="64" outlineLevel="1">
      <c r="A64" t="inlineStr" s="23">
        <is>
          <t xml:space="preserve">Verified resolution rate &gt; Growing shop</t>
        </is>
      </c>
      <c r="AJ64" s="19">
        <f>'SwapDesk — Assumptions · Mercha'!E5</f>
        <v>0.65</v>
      </c>
    </row>
    <row r="65" outlineLevel="1">
      <c r="A65" t="inlineStr" s="23">
        <is>
          <t xml:space="preserve">Verified resolution rate &gt; Small shop</t>
        </is>
      </c>
      <c r="AJ65" s="19">
        <f>'SwapDesk — Assumptions · Mercha'!E6</f>
        <v>0.65</v>
      </c>
    </row>
    <row r="66">
      <c r="A66" t="inlineStr" s="22">
        <is>
          <t xml:space="preserve">Verified resolution rate</t>
        </is>
      </c>
      <c r="B66" s="11">
        <v>0</v>
      </c>
    </row>
    <row r="67" outlineLevel="1">
      <c r="A67" t="inlineStr" s="23">
        <is>
          <t xml:space="preserve">Verified resolution rate &gt; Growing shop</t>
        </is>
      </c>
      <c r="B67" s="19">
        <f>'SwapDesk — Assumptions · Mercha'!E5</f>
        <v>0.65</v>
      </c>
    </row>
    <row r="68" outlineLevel="1">
      <c r="A68" t="inlineStr" s="23">
        <is>
          <t xml:space="preserve">Verified resolution rate &gt; Small shop</t>
        </is>
      </c>
      <c r="B68" s="19">
        <f>'SwapDesk — Assumptions · Mercha'!E6</f>
        <v>0.65</v>
      </c>
    </row>
    <row r="69">
      <c r="A69" t="inlineStr" s="22">
        <is>
          <t xml:space="preserve">Founder annual pay · SwapDesk — Assumptions · Placeholder founder compensation</t>
        </is>
      </c>
      <c r="AJ69" s="9">
        <f>'SwapDesk — Assumptions · Commer'!B16</f>
        <v>24000</v>
      </c>
    </row>
    <row r="70">
      <c r="A70" t="inlineStr" s="22">
        <is>
          <t xml:space="preserve">Lost stores</t>
        </is>
      </c>
      <c r="C70" s="10">
        <f>SUM('Model inputs'!C71,'Model inputs'!C72)</f>
        <v>0</v>
      </c>
      <c r="D70" s="10">
        <f>SUM('Model inputs'!D71,'Model inputs'!D72)</f>
        <v>0</v>
      </c>
      <c r="E70" s="10">
        <f>SUM('Model inputs'!E71,'Model inputs'!E72)</f>
        <v>0</v>
      </c>
      <c r="F70" s="10">
        <f>SUM('Model inputs'!F71,'Model inputs'!F72)</f>
        <v>0</v>
      </c>
      <c r="G70" s="10">
        <f>SUM('Model inputs'!G71,'Model inputs'!G72)</f>
        <v>0</v>
      </c>
      <c r="H70" s="10">
        <f>SUM('Model inputs'!H71,'Model inputs'!H72)</f>
        <v>0</v>
      </c>
      <c r="I70" s="10">
        <f>SUM('Model inputs'!I71,'Model inputs'!I72)</f>
        <v>0</v>
      </c>
      <c r="J70" s="10">
        <f>SUM('Model inputs'!J71,'Model inputs'!J72)</f>
        <v>0</v>
      </c>
      <c r="K70" s="10">
        <f>SUM('Model inputs'!K71,'Model inputs'!K72)</f>
        <v>0</v>
      </c>
      <c r="L70" s="10">
        <f>SUM('Model inputs'!L71,'Model inputs'!L72)</f>
        <v>0.19</v>
      </c>
      <c r="M70" s="10">
        <f>SUM('Model inputs'!M71,'Model inputs'!M72)</f>
        <v>0.22469999999999998</v>
      </c>
      <c r="N70" s="10">
        <f>SUM('Model inputs'!N71,'Model inputs'!N72)</f>
        <v>0.258451</v>
      </c>
      <c r="O70" s="10">
        <f>SUM('Model inputs'!O71,'Model inputs'!O72)</f>
        <v>0.29127963</v>
      </c>
      <c r="P70" s="10">
        <f>SUM('Model inputs'!P71,'Model inputs'!P72)</f>
        <v>0.3232117579</v>
      </c>
      <c r="Q70" s="10">
        <f>SUM('Model inputs'!Q71,'Model inputs'!Q72)</f>
        <v>0.35427251162699996</v>
      </c>
      <c r="R70" s="10">
        <f>SUM('Model inputs'!R71,'Model inputs'!R72)</f>
        <v>0.38448630061291</v>
      </c>
      <c r="S70" s="10">
        <f>SUM('Model inputs'!S71,'Model inputs'!S72)</f>
        <v>0.41387683664254826</v>
      </c>
      <c r="T70" s="10">
        <f>SUM('Model inputs'!T71,'Model inputs'!T72)</f>
        <v>0.44246715409033693</v>
      </c>
      <c r="U70" s="10">
        <f>SUM('Model inputs'!U71,'Model inputs'!U72)</f>
        <v>0.4702796295637506</v>
      </c>
      <c r="V70" s="10">
        <f>SUM('Model inputs'!V71,'Model inputs'!V72)</f>
        <v>0.4973360009710394</v>
      </c>
      <c r="W70" s="10">
        <f>SUM('Model inputs'!W71,'Model inputs'!W72)</f>
        <v>0.5236573860302256</v>
      </c>
      <c r="X70" s="10">
        <f>SUM('Model inputs'!X71,'Model inputs'!X72)</f>
        <v>0.5492643002358697</v>
      </c>
      <c r="Y70" s="10">
        <f>SUM('Model inputs'!Y71,'Model inputs'!Y72)</f>
        <v>0.5741766742996135</v>
      </c>
      <c r="Z70" s="10">
        <f>SUM('Model inputs'!Z71,'Model inputs'!Z72)</f>
        <v>0.5984138710800286</v>
      </c>
      <c r="AA70" s="10">
        <f>SUM('Model inputs'!AA71,'Model inputs'!AA72)</f>
        <v>0.6219947020168433</v>
      </c>
      <c r="AB70" s="10">
        <f>SUM('Model inputs'!AB71,'Model inputs'!AB72)</f>
        <v>0.6449374430841691</v>
      </c>
      <c r="AC70" s="10">
        <f>SUM('Model inputs'!AC71,'Model inputs'!AC72)</f>
        <v>0.6672598502769185</v>
      </c>
      <c r="AD70" s="10">
        <f>SUM('Model inputs'!AD71,'Model inputs'!AD72)</f>
        <v>0.6889791746441801</v>
      </c>
      <c r="AE70" s="10">
        <f>SUM('Model inputs'!AE71,'Model inputs'!AE72)</f>
        <v>0.7101121768829123</v>
      </c>
      <c r="AF70" s="10">
        <f>SUM('Model inputs'!AF71,'Model inputs'!AF72)</f>
        <v>0.7306751415049214</v>
      </c>
      <c r="AG70" s="10">
        <f>SUM('Model inputs'!AG71,'Model inputs'!AG72)</f>
        <v>0.7506838905897003</v>
      </c>
      <c r="AH70" s="10">
        <f>SUM('Model inputs'!AH71,'Model inputs'!AH72)</f>
        <v>0.7701537971353374</v>
      </c>
      <c r="AI70" s="10">
        <f>SUM('Model inputs'!AI71,'Model inputs'!AI72)</f>
        <v>0.7890997980193388</v>
      </c>
    </row>
    <row r="71" outlineLevel="1">
      <c r="A71" t="inlineStr" s="23">
        <is>
          <t xml:space="preserve">Lost stores &gt; Growing shop</t>
        </is>
      </c>
      <c r="C71" s="8">
        <f>0</f>
        <v>0</v>
      </c>
      <c r="D71" s="8">
        <f>0</f>
        <v>0</v>
      </c>
      <c r="E71" s="8">
        <f>0</f>
        <v>0</v>
      </c>
      <c r="F71" s="8">
        <f>0</f>
        <v>0</v>
      </c>
      <c r="G71" s="8">
        <f>0</f>
        <v>0</v>
      </c>
      <c r="H71" s="8">
        <f>0</f>
        <v>0</v>
      </c>
      <c r="I71" s="8">
        <f>0</f>
        <v>0</v>
      </c>
      <c r="J71" s="8">
        <f>0</f>
        <v>0</v>
      </c>
      <c r="K71" s="8">
        <f>'SwapDesk — Operations · Merchan'!B12</f>
        <v>0</v>
      </c>
      <c r="L71" s="8">
        <f>'Model inputs'!L77*'Model inputs'!B37</f>
        <v>0.04</v>
      </c>
      <c r="M71" s="8">
        <f>'Model inputs'!M77*'Model inputs'!B37</f>
        <v>0.0492</v>
      </c>
      <c r="N71" s="8">
        <f>'Model inputs'!N77*'Model inputs'!B37</f>
        <v>0.058216000000000004</v>
      </c>
      <c r="O71" s="8">
        <f>'Model inputs'!O77*'Model inputs'!B37</f>
        <v>0.06705168</v>
      </c>
      <c r="P71" s="8">
        <f>'Model inputs'!P77*'Model inputs'!B37</f>
        <v>0.07571064640000001</v>
      </c>
      <c r="Q71" s="8">
        <f>'Model inputs'!Q77*'Model inputs'!B37</f>
        <v>0.084196433472</v>
      </c>
      <c r="R71" s="8">
        <f>'Model inputs'!R77*'Model inputs'!B37</f>
        <v>0.09251250480256</v>
      </c>
      <c r="S71" s="8">
        <f>'Model inputs'!S77*'Model inputs'!B37</f>
        <v>0.1006622547065088</v>
      </c>
      <c r="T71" s="8">
        <f>'Model inputs'!T77*'Model inputs'!B37</f>
        <v>0.10864900961237861</v>
      </c>
      <c r="U71" s="8">
        <f>'Model inputs'!U77*'Model inputs'!B37</f>
        <v>0.11647602942013105</v>
      </c>
      <c r="V71" s="8">
        <f>'Model inputs'!V77*'Model inputs'!B37</f>
        <v>0.12414650883172844</v>
      </c>
      <c r="W71" s="8">
        <f>'Model inputs'!W77*'Model inputs'!B37</f>
        <v>0.13166357865509387</v>
      </c>
      <c r="X71" s="8">
        <f>'Model inputs'!X77*'Model inputs'!B37</f>
        <v>0.139030307081992</v>
      </c>
      <c r="Y71" s="8">
        <f>'Model inputs'!Y77*'Model inputs'!B37</f>
        <v>0.14624970094035214</v>
      </c>
      <c r="Z71" s="8">
        <f>'Model inputs'!Z77*'Model inputs'!B37</f>
        <v>0.1533247069215451</v>
      </c>
      <c r="AA71" s="8">
        <f>'Model inputs'!AA77*'Model inputs'!B37</f>
        <v>0.1602582127831142</v>
      </c>
      <c r="AB71" s="8">
        <f>'Model inputs'!AB77*'Model inputs'!B37</f>
        <v>0.1670530485274519</v>
      </c>
      <c r="AC71" s="8">
        <f>'Model inputs'!AC77*'Model inputs'!B37</f>
        <v>0.17371198755690287</v>
      </c>
      <c r="AD71" s="8">
        <f>'Model inputs'!AD77*'Model inputs'!B37</f>
        <v>0.18023774780576482</v>
      </c>
      <c r="AE71" s="8">
        <f>'Model inputs'!AE77*'Model inputs'!B37</f>
        <v>0.18663299284964954</v>
      </c>
      <c r="AF71" s="8">
        <f>'Model inputs'!AF77*'Model inputs'!B37</f>
        <v>0.19290033299265655</v>
      </c>
      <c r="AG71" s="8">
        <f>'Model inputs'!AG77*'Model inputs'!B37</f>
        <v>0.19904232633280342</v>
      </c>
      <c r="AH71" s="8">
        <f>'Model inputs'!AH77*'Model inputs'!B37</f>
        <v>0.20506147980614736</v>
      </c>
      <c r="AI71" s="8">
        <f>'Model inputs'!AI77*'Model inputs'!B37</f>
        <v>0.2109602502100244</v>
      </c>
    </row>
    <row r="72" outlineLevel="1">
      <c r="A72" t="inlineStr" s="23">
        <is>
          <t xml:space="preserve">Lost stores &gt; Small shop</t>
        </is>
      </c>
      <c r="C72" s="8">
        <f>0</f>
        <v>0</v>
      </c>
      <c r="D72" s="8">
        <f>0</f>
        <v>0</v>
      </c>
      <c r="E72" s="8">
        <f>0</f>
        <v>0</v>
      </c>
      <c r="F72" s="8">
        <f>0</f>
        <v>0</v>
      </c>
      <c r="G72" s="8">
        <f>0</f>
        <v>0</v>
      </c>
      <c r="H72" s="8">
        <f>0</f>
        <v>0</v>
      </c>
      <c r="I72" s="8">
        <f>0</f>
        <v>0</v>
      </c>
      <c r="J72" s="8">
        <f>0</f>
        <v>0</v>
      </c>
      <c r="K72" s="8">
        <f>'SwapDesk — Operations · Merchan'!B13</f>
        <v>0</v>
      </c>
      <c r="L72" s="8">
        <f>'Model inputs'!L78*'Model inputs'!B38</f>
        <v>0.15</v>
      </c>
      <c r="M72" s="8">
        <f>'Model inputs'!M78*'Model inputs'!B38</f>
        <v>0.1755</v>
      </c>
      <c r="N72" s="8">
        <f>'Model inputs'!N78*'Model inputs'!B38</f>
        <v>0.200235</v>
      </c>
      <c r="O72" s="8">
        <f>'Model inputs'!O78*'Model inputs'!B38</f>
        <v>0.22422794999999998</v>
      </c>
      <c r="P72" s="8">
        <f>'Model inputs'!P78*'Model inputs'!B38</f>
        <v>0.24750111149999998</v>
      </c>
      <c r="Q72" s="8">
        <f>'Model inputs'!Q78*'Model inputs'!B38</f>
        <v>0.27007607815499995</v>
      </c>
      <c r="R72" s="8">
        <f>'Model inputs'!R78*'Model inputs'!B38</f>
        <v>0.29197379581035</v>
      </c>
      <c r="S72" s="8">
        <f>'Model inputs'!S78*'Model inputs'!B38</f>
        <v>0.31321458193603946</v>
      </c>
      <c r="T72" s="8">
        <f>'Model inputs'!T78*'Model inputs'!B38</f>
        <v>0.3338181444779583</v>
      </c>
      <c r="U72" s="8">
        <f>'Model inputs'!U78*'Model inputs'!B38</f>
        <v>0.35380360014361956</v>
      </c>
      <c r="V72" s="8">
        <f>'Model inputs'!V78*'Model inputs'!B38</f>
        <v>0.37318949213931096</v>
      </c>
      <c r="W72" s="8">
        <f>'Model inputs'!W78*'Model inputs'!B38</f>
        <v>0.3919938073751317</v>
      </c>
      <c r="X72" s="8">
        <f>'Model inputs'!X78*'Model inputs'!B38</f>
        <v>0.4102339931538777</v>
      </c>
      <c r="Y72" s="8">
        <f>'Model inputs'!Y78*'Model inputs'!B38</f>
        <v>0.4279269733592614</v>
      </c>
      <c r="Z72" s="8">
        <f>'Model inputs'!Z78*'Model inputs'!B38</f>
        <v>0.4450891641584836</v>
      </c>
      <c r="AA72" s="8">
        <f>'Model inputs'!AA78*'Model inputs'!B38</f>
        <v>0.46173648923372906</v>
      </c>
      <c r="AB72" s="8">
        <f>'Model inputs'!AB78*'Model inputs'!B38</f>
        <v>0.4778843945567172</v>
      </c>
      <c r="AC72" s="8">
        <f>'Model inputs'!AC78*'Model inputs'!B38</f>
        <v>0.49354786272001566</v>
      </c>
      <c r="AD72" s="8">
        <f>'Model inputs'!AD78*'Model inputs'!B38</f>
        <v>0.5087414268384153</v>
      </c>
      <c r="AE72" s="8">
        <f>'Model inputs'!AE78*'Model inputs'!B38</f>
        <v>0.5234791840332628</v>
      </c>
      <c r="AF72" s="8">
        <f>'Model inputs'!AF78*'Model inputs'!B38</f>
        <v>0.5377748085122649</v>
      </c>
      <c r="AG72" s="8">
        <f>'Model inputs'!AG78*'Model inputs'!B38</f>
        <v>0.5516415642568969</v>
      </c>
      <c r="AH72" s="8">
        <f>'Model inputs'!AH78*'Model inputs'!B38</f>
        <v>0.5650923173291901</v>
      </c>
      <c r="AI72" s="8">
        <f>'Model inputs'!AI78*'Model inputs'!B38</f>
        <v>0.5781395478093144</v>
      </c>
    </row>
    <row r="73">
      <c r="A73" t="inlineStr" s="22">
        <is>
          <t xml:space="preserve">New stores</t>
        </is>
      </c>
      <c r="C73" s="10">
        <f>SUM('Model inputs'!C74,'Model inputs'!C75)</f>
        <v>0</v>
      </c>
      <c r="D73" s="10">
        <f>SUM('Model inputs'!D74,'Model inputs'!D75)</f>
        <v>0</v>
      </c>
      <c r="E73" s="10">
        <f>SUM('Model inputs'!E74,'Model inputs'!E75)</f>
        <v>0</v>
      </c>
      <c r="F73" s="10">
        <f>SUM('Model inputs'!F74,'Model inputs'!F75)</f>
        <v>0</v>
      </c>
      <c r="G73" s="10">
        <f>SUM('Model inputs'!G74,'Model inputs'!G75)</f>
        <v>0</v>
      </c>
      <c r="H73" s="10">
        <f>SUM('Model inputs'!H74,'Model inputs'!H75)</f>
        <v>0</v>
      </c>
      <c r="I73" s="10">
        <f>SUM('Model inputs'!I74,'Model inputs'!I75)</f>
        <v>0</v>
      </c>
      <c r="J73" s="10">
        <f>SUM('Model inputs'!J74,'Model inputs'!J75)</f>
        <v>0</v>
      </c>
      <c r="K73" s="10">
        <f>SUM('Model inputs'!K74,'Model inputs'!K75)</f>
        <v>0</v>
      </c>
      <c r="L73" s="10">
        <f>SUM('Model inputs'!L74,'Model inputs'!L75)</f>
        <v>1.5</v>
      </c>
      <c r="M73" s="10">
        <f>SUM('Model inputs'!M74,'Model inputs'!M75)</f>
        <v>1.5</v>
      </c>
      <c r="N73" s="10">
        <f>SUM('Model inputs'!N74,'Model inputs'!N75)</f>
        <v>1.5</v>
      </c>
      <c r="O73" s="10">
        <f>SUM('Model inputs'!O74,'Model inputs'!O75)</f>
        <v>1.5</v>
      </c>
      <c r="P73" s="10">
        <f>SUM('Model inputs'!P74,'Model inputs'!P75)</f>
        <v>1.5</v>
      </c>
      <c r="Q73" s="10">
        <f>SUM('Model inputs'!Q74,'Model inputs'!Q75)</f>
        <v>1.5</v>
      </c>
      <c r="R73" s="10">
        <f>SUM('Model inputs'!R74,'Model inputs'!R75)</f>
        <v>1.5</v>
      </c>
      <c r="S73" s="10">
        <f>SUM('Model inputs'!S74,'Model inputs'!S75)</f>
        <v>1.5</v>
      </c>
      <c r="T73" s="10">
        <f>SUM('Model inputs'!T74,'Model inputs'!T75)</f>
        <v>1.5</v>
      </c>
      <c r="U73" s="10">
        <f>SUM('Model inputs'!U74,'Model inputs'!U75)</f>
        <v>1.5</v>
      </c>
      <c r="V73" s="10">
        <f>SUM('Model inputs'!V74,'Model inputs'!V75)</f>
        <v>1.5</v>
      </c>
      <c r="W73" s="10">
        <f>SUM('Model inputs'!W74,'Model inputs'!W75)</f>
        <v>1.5</v>
      </c>
      <c r="X73" s="10">
        <f>SUM('Model inputs'!X74,'Model inputs'!X75)</f>
        <v>1.5</v>
      </c>
      <c r="Y73" s="10">
        <f>SUM('Model inputs'!Y74,'Model inputs'!Y75)</f>
        <v>1.5</v>
      </c>
      <c r="Z73" s="10">
        <f>SUM('Model inputs'!Z74,'Model inputs'!Z75)</f>
        <v>1.5</v>
      </c>
      <c r="AA73" s="10">
        <f>SUM('Model inputs'!AA74,'Model inputs'!AA75)</f>
        <v>1.5</v>
      </c>
      <c r="AB73" s="10">
        <f>SUM('Model inputs'!AB74,'Model inputs'!AB75)</f>
        <v>1.5</v>
      </c>
      <c r="AC73" s="10">
        <f>SUM('Model inputs'!AC74,'Model inputs'!AC75)</f>
        <v>1.5</v>
      </c>
      <c r="AD73" s="10">
        <f>SUM('Model inputs'!AD74,'Model inputs'!AD75)</f>
        <v>1.5</v>
      </c>
      <c r="AE73" s="10">
        <f>SUM('Model inputs'!AE74,'Model inputs'!AE75)</f>
        <v>1.5</v>
      </c>
      <c r="AF73" s="10">
        <f>SUM('Model inputs'!AF74,'Model inputs'!AF75)</f>
        <v>1.5</v>
      </c>
      <c r="AG73" s="10">
        <f>SUM('Model inputs'!AG74,'Model inputs'!AG75)</f>
        <v>1.5</v>
      </c>
      <c r="AH73" s="10">
        <f>SUM('Model inputs'!AH74,'Model inputs'!AH75)</f>
        <v>1.5</v>
      </c>
      <c r="AI73" s="10">
        <f>SUM('Model inputs'!AI74,'Model inputs'!AI75)</f>
        <v>1.5</v>
      </c>
    </row>
    <row r="74" outlineLevel="1">
      <c r="A74" t="inlineStr" s="23">
        <is>
          <t xml:space="preserve">New stores &gt; Growing shop</t>
        </is>
      </c>
      <c r="C74" s="8">
        <f>0</f>
        <v>0</v>
      </c>
      <c r="D74" s="8">
        <f>0</f>
        <v>0</v>
      </c>
      <c r="E74" s="8">
        <f>0</f>
        <v>0</v>
      </c>
      <c r="F74" s="8">
        <f>0</f>
        <v>0</v>
      </c>
      <c r="G74" s="8">
        <f>0</f>
        <v>0</v>
      </c>
      <c r="H74" s="8">
        <f>0</f>
        <v>0</v>
      </c>
      <c r="I74" s="8">
        <f>0</f>
        <v>0</v>
      </c>
      <c r="J74" s="8">
        <f>0</f>
        <v>0</v>
      </c>
      <c r="K74" s="8">
        <f>'SwapDesk — Operations · Merchan'!B9</f>
        <v>0</v>
      </c>
      <c r="L74" s="8">
        <f>IF('Model inputs'!B41="","",'Model inputs'!B41)</f>
        <v>0.5</v>
      </c>
      <c r="M74" s="8">
        <f>IF('Model inputs'!B41="","",'Model inputs'!B41)</f>
        <v>0.5</v>
      </c>
      <c r="N74" s="8">
        <f>IF('Model inputs'!B41="","",'Model inputs'!B41)</f>
        <v>0.5</v>
      </c>
      <c r="O74" s="8">
        <f>IF('Model inputs'!B41="","",'Model inputs'!B41)</f>
        <v>0.5</v>
      </c>
      <c r="P74" s="8">
        <f>IF('Model inputs'!B41="","",'Model inputs'!B41)</f>
        <v>0.5</v>
      </c>
      <c r="Q74" s="8">
        <f>IF('Model inputs'!B41="","",'Model inputs'!B41)</f>
        <v>0.5</v>
      </c>
      <c r="R74" s="8">
        <f>IF('Model inputs'!B41="","",'Model inputs'!B41)</f>
        <v>0.5</v>
      </c>
      <c r="S74" s="8">
        <f>IF('Model inputs'!B41="","",'Model inputs'!B41)</f>
        <v>0.5</v>
      </c>
      <c r="T74" s="8">
        <f>IF('Model inputs'!B41="","",'Model inputs'!B41)</f>
        <v>0.5</v>
      </c>
      <c r="U74" s="8">
        <f>IF('Model inputs'!B41="","",'Model inputs'!B41)</f>
        <v>0.5</v>
      </c>
      <c r="V74" s="8">
        <f>IF('Model inputs'!B41="","",'Model inputs'!B41)</f>
        <v>0.5</v>
      </c>
      <c r="W74" s="8">
        <f>IF('Model inputs'!B41="","",'Model inputs'!B41)</f>
        <v>0.5</v>
      </c>
      <c r="X74" s="8">
        <f>IF('Model inputs'!B41="","",'Model inputs'!B41)</f>
        <v>0.5</v>
      </c>
      <c r="Y74" s="8">
        <f>IF('Model inputs'!B41="","",'Model inputs'!B41)</f>
        <v>0.5</v>
      </c>
      <c r="Z74" s="8">
        <f>IF('Model inputs'!B41="","",'Model inputs'!B41)</f>
        <v>0.5</v>
      </c>
      <c r="AA74" s="8">
        <f>IF('Model inputs'!B41="","",'Model inputs'!B41)</f>
        <v>0.5</v>
      </c>
      <c r="AB74" s="8">
        <f>IF('Model inputs'!B41="","",'Model inputs'!B41)</f>
        <v>0.5</v>
      </c>
      <c r="AC74" s="8">
        <f>IF('Model inputs'!B41="","",'Model inputs'!B41)</f>
        <v>0.5</v>
      </c>
      <c r="AD74" s="8">
        <f>IF('Model inputs'!B41="","",'Model inputs'!B41)</f>
        <v>0.5</v>
      </c>
      <c r="AE74" s="8">
        <f>IF('Model inputs'!B41="","",'Model inputs'!B41)</f>
        <v>0.5</v>
      </c>
      <c r="AF74" s="8">
        <f>IF('Model inputs'!B41="","",'Model inputs'!B41)</f>
        <v>0.5</v>
      </c>
      <c r="AG74" s="8">
        <f>IF('Model inputs'!B41="","",'Model inputs'!B41)</f>
        <v>0.5</v>
      </c>
      <c r="AH74" s="8">
        <f>IF('Model inputs'!B41="","",'Model inputs'!B41)</f>
        <v>0.5</v>
      </c>
      <c r="AI74" s="8">
        <f>IF('Model inputs'!B41="","",'Model inputs'!B41)</f>
        <v>0.5</v>
      </c>
    </row>
    <row r="75" outlineLevel="1">
      <c r="A75" t="inlineStr" s="23">
        <is>
          <t xml:space="preserve">New stores &gt; Small shop</t>
        </is>
      </c>
      <c r="C75" s="8">
        <f>0</f>
        <v>0</v>
      </c>
      <c r="D75" s="8">
        <f>0</f>
        <v>0</v>
      </c>
      <c r="E75" s="8">
        <f>0</f>
        <v>0</v>
      </c>
      <c r="F75" s="8">
        <f>0</f>
        <v>0</v>
      </c>
      <c r="G75" s="8">
        <f>0</f>
        <v>0</v>
      </c>
      <c r="H75" s="8">
        <f>0</f>
        <v>0</v>
      </c>
      <c r="I75" s="8">
        <f>0</f>
        <v>0</v>
      </c>
      <c r="J75" s="8">
        <f>0</f>
        <v>0</v>
      </c>
      <c r="K75" s="8">
        <f>'SwapDesk — Operations · Merchan'!B10</f>
        <v>0</v>
      </c>
      <c r="L75" s="8">
        <f>IF('Model inputs'!B42="","",'Model inputs'!B42)</f>
        <v>1</v>
      </c>
      <c r="M75" s="8">
        <f>IF('Model inputs'!B42="","",'Model inputs'!B42)</f>
        <v>1</v>
      </c>
      <c r="N75" s="8">
        <f>IF('Model inputs'!B42="","",'Model inputs'!B42)</f>
        <v>1</v>
      </c>
      <c r="O75" s="8">
        <f>IF('Model inputs'!B42="","",'Model inputs'!B42)</f>
        <v>1</v>
      </c>
      <c r="P75" s="8">
        <f>IF('Model inputs'!B42="","",'Model inputs'!B42)</f>
        <v>1</v>
      </c>
      <c r="Q75" s="8">
        <f>IF('Model inputs'!B42="","",'Model inputs'!B42)</f>
        <v>1</v>
      </c>
      <c r="R75" s="8">
        <f>IF('Model inputs'!B42="","",'Model inputs'!B42)</f>
        <v>1</v>
      </c>
      <c r="S75" s="8">
        <f>IF('Model inputs'!B42="","",'Model inputs'!B42)</f>
        <v>1</v>
      </c>
      <c r="T75" s="8">
        <f>IF('Model inputs'!B42="","",'Model inputs'!B42)</f>
        <v>1</v>
      </c>
      <c r="U75" s="8">
        <f>IF('Model inputs'!B42="","",'Model inputs'!B42)</f>
        <v>1</v>
      </c>
      <c r="V75" s="8">
        <f>IF('Model inputs'!B42="","",'Model inputs'!B42)</f>
        <v>1</v>
      </c>
      <c r="W75" s="8">
        <f>IF('Model inputs'!B42="","",'Model inputs'!B42)</f>
        <v>1</v>
      </c>
      <c r="X75" s="8">
        <f>IF('Model inputs'!B42="","",'Model inputs'!B42)</f>
        <v>1</v>
      </c>
      <c r="Y75" s="8">
        <f>IF('Model inputs'!B42="","",'Model inputs'!B42)</f>
        <v>1</v>
      </c>
      <c r="Z75" s="8">
        <f>IF('Model inputs'!B42="","",'Model inputs'!B42)</f>
        <v>1</v>
      </c>
      <c r="AA75" s="8">
        <f>IF('Model inputs'!B42="","",'Model inputs'!B42)</f>
        <v>1</v>
      </c>
      <c r="AB75" s="8">
        <f>IF('Model inputs'!B42="","",'Model inputs'!B42)</f>
        <v>1</v>
      </c>
      <c r="AC75" s="8">
        <f>IF('Model inputs'!B42="","",'Model inputs'!B42)</f>
        <v>1</v>
      </c>
      <c r="AD75" s="8">
        <f>IF('Model inputs'!B42="","",'Model inputs'!B42)</f>
        <v>1</v>
      </c>
      <c r="AE75" s="8">
        <f>IF('Model inputs'!B42="","",'Model inputs'!B42)</f>
        <v>1</v>
      </c>
      <c r="AF75" s="8">
        <f>IF('Model inputs'!B42="","",'Model inputs'!B42)</f>
        <v>1</v>
      </c>
      <c r="AG75" s="8">
        <f>IF('Model inputs'!B42="","",'Model inputs'!B42)</f>
        <v>1</v>
      </c>
      <c r="AH75" s="8">
        <f>IF('Model inputs'!B42="","",'Model inputs'!B42)</f>
        <v>1</v>
      </c>
      <c r="AI75" s="8">
        <f>IF('Model inputs'!B42="","",'Model inputs'!B42)</f>
        <v>1</v>
      </c>
    </row>
    <row r="76">
      <c r="A76" t="inlineStr" s="22">
        <is>
          <t xml:space="preserve">Opening stores</t>
        </is>
      </c>
      <c r="C76" s="10">
        <f>SUM('Model inputs'!C77,'Model inputs'!C78)</f>
        <v>0</v>
      </c>
      <c r="D76" s="10">
        <f>SUM('Model inputs'!D77,'Model inputs'!D78)</f>
        <v>0</v>
      </c>
      <c r="E76" s="10">
        <f>SUM('Model inputs'!E77,'Model inputs'!E78)</f>
        <v>0</v>
      </c>
      <c r="F76" s="10">
        <f>SUM('Model inputs'!F77,'Model inputs'!F78)</f>
        <v>0</v>
      </c>
      <c r="G76" s="10">
        <f>SUM('Model inputs'!G77,'Model inputs'!G78)</f>
        <v>0</v>
      </c>
      <c r="H76" s="10">
        <f>SUM('Model inputs'!H77,'Model inputs'!H78)</f>
        <v>0</v>
      </c>
      <c r="I76" s="10">
        <f>SUM('Model inputs'!I77,'Model inputs'!I78)</f>
        <v>0</v>
      </c>
      <c r="J76" s="10">
        <f>SUM('Model inputs'!J77,'Model inputs'!J78)</f>
        <v>0</v>
      </c>
      <c r="K76" s="10">
        <f>SUM('Model inputs'!K77,'Model inputs'!K78)</f>
        <v>0</v>
      </c>
      <c r="L76" s="10">
        <f>SUM('Model inputs'!L77,'Model inputs'!L78)</f>
        <v>7</v>
      </c>
      <c r="M76" s="10">
        <f>SUM('Model inputs'!M77,'Model inputs'!M78)</f>
        <v>8.309999999999999</v>
      </c>
      <c r="N76" s="10">
        <f>SUM('Model inputs'!N77,'Model inputs'!N78)</f>
        <v>9.5853</v>
      </c>
      <c r="O76" s="10">
        <f>SUM('Model inputs'!O77,'Model inputs'!O78)</f>
        <v>10.826849</v>
      </c>
      <c r="P76" s="10">
        <f>SUM('Model inputs'!P77,'Model inputs'!P78)</f>
        <v>12.03556937</v>
      </c>
      <c r="Q76" s="10">
        <f>SUM('Model inputs'!Q77,'Model inputs'!Q78)</f>
        <v>13.2123576121</v>
      </c>
      <c r="R76" s="10">
        <f>SUM('Model inputs'!R77,'Model inputs'!R78)</f>
        <v>14.358085100472998</v>
      </c>
      <c r="S76" s="10">
        <f>SUM('Model inputs'!S77,'Model inputs'!S78)</f>
        <v>15.473598799860088</v>
      </c>
      <c r="T76" s="10">
        <f>SUM('Model inputs'!T77,'Model inputs'!T78)</f>
        <v>16.55972196321754</v>
      </c>
      <c r="U76" s="10">
        <f>SUM('Model inputs'!U77,'Model inputs'!U78)</f>
        <v>17.617254809127203</v>
      </c>
      <c r="V76" s="10">
        <f>SUM('Model inputs'!V77,'Model inputs'!V78)</f>
        <v>18.646975179563455</v>
      </c>
      <c r="W76" s="10">
        <f>SUM('Model inputs'!W77,'Model inputs'!W78)</f>
        <v>19.649639178592416</v>
      </c>
      <c r="X76" s="10">
        <f>SUM('Model inputs'!X77,'Model inputs'!X78)</f>
        <v>20.62598179256219</v>
      </c>
      <c r="Y76" s="10">
        <f>SUM('Model inputs'!Y77,'Model inputs'!Y78)</f>
        <v>21.57671749232632</v>
      </c>
      <c r="Z76" s="10">
        <f>SUM('Model inputs'!Z77,'Model inputs'!Z78)</f>
        <v>22.50254081802671</v>
      </c>
      <c r="AA76" s="10">
        <f>SUM('Model inputs'!AA77,'Model inputs'!AA78)</f>
        <v>23.40412694694668</v>
      </c>
      <c r="AB76" s="10">
        <f>SUM('Model inputs'!AB77,'Model inputs'!AB78)</f>
        <v>24.282132244929834</v>
      </c>
      <c r="AC76" s="10">
        <f>SUM('Model inputs'!AC77,'Model inputs'!AC78)</f>
        <v>25.137194801845666</v>
      </c>
      <c r="AD76" s="10">
        <f>SUM('Model inputs'!AD77,'Model inputs'!AD78)</f>
        <v>25.96993495156875</v>
      </c>
      <c r="AE76" s="10">
        <f>SUM('Model inputs'!AE77,'Model inputs'!AE78)</f>
        <v>26.78095577692457</v>
      </c>
      <c r="AF76" s="10">
        <f>SUM('Model inputs'!AF77,'Model inputs'!AF78)</f>
        <v>27.570843600041655</v>
      </c>
      <c r="AG76" s="10">
        <f>SUM('Model inputs'!AG77,'Model inputs'!AG78)</f>
        <v>28.340168458536738</v>
      </c>
      <c r="AH76" s="10">
        <f>SUM('Model inputs'!AH77,'Model inputs'!AH78)</f>
        <v>29.089484567947036</v>
      </c>
      <c r="AI76" s="10">
        <f>SUM('Model inputs'!AI77,'Model inputs'!AI78)</f>
        <v>29.8193307708117</v>
      </c>
    </row>
    <row r="77" outlineLevel="1">
      <c r="A77" t="inlineStr" s="23">
        <is>
          <t xml:space="preserve">Opening stores &gt; Growing shop</t>
        </is>
      </c>
      <c r="C77" s="8">
        <f>0</f>
        <v>0</v>
      </c>
      <c r="D77" s="8">
        <f>0</f>
        <v>0</v>
      </c>
      <c r="E77" s="8">
        <f>0</f>
        <v>0</v>
      </c>
      <c r="F77" s="8">
        <f>0</f>
        <v>0</v>
      </c>
      <c r="G77" s="8">
        <f>0</f>
        <v>0</v>
      </c>
      <c r="H77" s="8">
        <f>0</f>
        <v>0</v>
      </c>
      <c r="I77" s="8">
        <f>0</f>
        <v>0</v>
      </c>
      <c r="J77" s="8">
        <f>0</f>
        <v>0</v>
      </c>
      <c r="K77" s="8">
        <f>'SwapDesk — Operations · Merchan'!B6</f>
        <v>0</v>
      </c>
      <c r="L77" s="8">
        <f>IF('Model inputs'!K18="","",'Model inputs'!K18)</f>
        <v>2</v>
      </c>
      <c r="M77" s="8">
        <f>IF('Model inputs'!L18="","",'Model inputs'!L18)</f>
        <v>2.46</v>
      </c>
      <c r="N77" s="8">
        <f>IF('Model inputs'!M18="","",'Model inputs'!M18)</f>
        <v>2.9108</v>
      </c>
      <c r="O77" s="8">
        <f>IF('Model inputs'!N18="","",'Model inputs'!N18)</f>
        <v>3.3525840000000002</v>
      </c>
      <c r="P77" s="8">
        <f>IF('Model inputs'!O18="","",'Model inputs'!O18)</f>
        <v>3.78553232</v>
      </c>
      <c r="Q77" s="8">
        <f>IF('Model inputs'!P18="","",'Model inputs'!P18)</f>
        <v>4.2098216736</v>
      </c>
      <c r="R77" s="8">
        <f>IF('Model inputs'!Q18="","",'Model inputs'!Q18)</f>
        <v>4.625625240128</v>
      </c>
      <c r="S77" s="8">
        <f>IF('Model inputs'!R18="","",'Model inputs'!R18)</f>
        <v>5.03311273532544</v>
      </c>
      <c r="T77" s="8">
        <f>IF('Model inputs'!S18="","",'Model inputs'!S18)</f>
        <v>5.432450480618931</v>
      </c>
      <c r="U77" s="8">
        <f>IF('Model inputs'!T18="","",'Model inputs'!T18)</f>
        <v>5.823801471006552</v>
      </c>
      <c r="V77" s="8">
        <f>IF('Model inputs'!U18="","",'Model inputs'!U18)</f>
        <v>6.207325441586422</v>
      </c>
      <c r="W77" s="8">
        <f>IF('Model inputs'!V18="","",'Model inputs'!V18)</f>
        <v>6.583178932754693</v>
      </c>
      <c r="X77" s="8">
        <f>IF('Model inputs'!W18="","",'Model inputs'!W18)</f>
        <v>6.951515354099599</v>
      </c>
      <c r="Y77" s="8">
        <f>IF('Model inputs'!X18="","",'Model inputs'!X18)</f>
        <v>7.312485047017607</v>
      </c>
      <c r="Z77" s="8">
        <f>IF('Model inputs'!Y18="","",'Model inputs'!Y18)</f>
        <v>7.666235346077255</v>
      </c>
      <c r="AA77" s="8">
        <f>IF('Model inputs'!Z18="","",'Model inputs'!Z18)</f>
        <v>8.01291063915571</v>
      </c>
      <c r="AB77" s="8">
        <f>IF('Model inputs'!AA18="","",'Model inputs'!AA18)</f>
        <v>8.352652426372595</v>
      </c>
      <c r="AC77" s="8">
        <f>IF('Model inputs'!AB18="","",'Model inputs'!AB18)</f>
        <v>8.685599377845143</v>
      </c>
      <c r="AD77" s="8">
        <f>IF('Model inputs'!AC18="","",'Model inputs'!AC18)</f>
        <v>9.01188739028824</v>
      </c>
      <c r="AE77" s="8">
        <f>IF('Model inputs'!AD18="","",'Model inputs'!AD18)</f>
        <v>9.331649642482477</v>
      </c>
      <c r="AF77" s="8">
        <f>IF('Model inputs'!AE18="","",'Model inputs'!AE18)</f>
        <v>9.645016649632828</v>
      </c>
      <c r="AG77" s="8">
        <f>IF('Model inputs'!AF18="","",'Model inputs'!AF18)</f>
        <v>9.95211631664017</v>
      </c>
      <c r="AH77" s="8">
        <f>IF('Model inputs'!AG18="","",'Model inputs'!AG18)</f>
        <v>10.253073990307367</v>
      </c>
      <c r="AI77" s="8">
        <f>IF('Model inputs'!AH18="","",'Model inputs'!AH18)</f>
        <v>10.54801251050122</v>
      </c>
    </row>
    <row r="78" outlineLevel="1">
      <c r="A78" t="inlineStr" s="23">
        <is>
          <t xml:space="preserve">Opening stores &gt; Small shop</t>
        </is>
      </c>
      <c r="C78" s="8">
        <f>0</f>
        <v>0</v>
      </c>
      <c r="D78" s="8">
        <f>0</f>
        <v>0</v>
      </c>
      <c r="E78" s="8">
        <f>0</f>
        <v>0</v>
      </c>
      <c r="F78" s="8">
        <f>0</f>
        <v>0</v>
      </c>
      <c r="G78" s="8">
        <f>0</f>
        <v>0</v>
      </c>
      <c r="H78" s="8">
        <f>0</f>
        <v>0</v>
      </c>
      <c r="I78" s="8">
        <f>0</f>
        <v>0</v>
      </c>
      <c r="J78" s="8">
        <f>0</f>
        <v>0</v>
      </c>
      <c r="K78" s="8">
        <f>'SwapDesk — Operations · Merchan'!B7</f>
        <v>0</v>
      </c>
      <c r="L78" s="8">
        <f>IF('Model inputs'!K19="","",'Model inputs'!K19)</f>
        <v>5</v>
      </c>
      <c r="M78" s="8">
        <f>IF('Model inputs'!L19="","",'Model inputs'!L19)</f>
        <v>5.85</v>
      </c>
      <c r="N78" s="8">
        <f>IF('Model inputs'!M19="","",'Model inputs'!M19)</f>
        <v>6.6745</v>
      </c>
      <c r="O78" s="8">
        <f>IF('Model inputs'!N19="","",'Model inputs'!N19)</f>
        <v>7.474265</v>
      </c>
      <c r="P78" s="8">
        <f>IF('Model inputs'!O19="","",'Model inputs'!O19)</f>
        <v>8.25003705</v>
      </c>
      <c r="Q78" s="8">
        <f>IF('Model inputs'!P19="","",'Model inputs'!P19)</f>
        <v>9.0025359385</v>
      </c>
      <c r="R78" s="8">
        <f>IF('Model inputs'!Q19="","",'Model inputs'!Q19)</f>
        <v>9.732459860345</v>
      </c>
      <c r="S78" s="8">
        <f>IF('Model inputs'!R19="","",'Model inputs'!R19)</f>
        <v>10.44048606453465</v>
      </c>
      <c r="T78" s="8">
        <f>IF('Model inputs'!S19="","",'Model inputs'!S19)</f>
        <v>11.12727148259861</v>
      </c>
      <c r="U78" s="8">
        <f>IF('Model inputs'!T19="","",'Model inputs'!T19)</f>
        <v>11.793453338120653</v>
      </c>
      <c r="V78" s="8">
        <f>IF('Model inputs'!U19="","",'Model inputs'!U19)</f>
        <v>12.439649737977033</v>
      </c>
      <c r="W78" s="8">
        <f>IF('Model inputs'!V19="","",'Model inputs'!V19)</f>
        <v>13.066460245837723</v>
      </c>
      <c r="X78" s="8">
        <f>IF('Model inputs'!W19="","",'Model inputs'!W19)</f>
        <v>13.674466438462591</v>
      </c>
      <c r="Y78" s="8">
        <f>IF('Model inputs'!X19="","",'Model inputs'!X19)</f>
        <v>14.264232445308714</v>
      </c>
      <c r="Z78" s="8">
        <f>IF('Model inputs'!Y19="","",'Model inputs'!Y19)</f>
        <v>14.836305471949453</v>
      </c>
      <c r="AA78" s="8">
        <f>IF('Model inputs'!Z19="","",'Model inputs'!Z19)</f>
        <v>15.39121630779097</v>
      </c>
      <c r="AB78" s="8">
        <f>IF('Model inputs'!AA19="","",'Model inputs'!AA19)</f>
        <v>15.92947981855724</v>
      </c>
      <c r="AC78" s="8">
        <f>IF('Model inputs'!AB19="","",'Model inputs'!AB19)</f>
        <v>16.451595424000523</v>
      </c>
      <c r="AD78" s="8">
        <f>IF('Model inputs'!AC19="","",'Model inputs'!AC19)</f>
        <v>16.95804756128051</v>
      </c>
      <c r="AE78" s="8">
        <f>IF('Model inputs'!AD19="","",'Model inputs'!AD19)</f>
        <v>17.449306134442093</v>
      </c>
      <c r="AF78" s="8">
        <f>IF('Model inputs'!AE19="","",'Model inputs'!AE19)</f>
        <v>17.92582695040883</v>
      </c>
      <c r="AG78" s="8">
        <f>IF('Model inputs'!AF19="","",'Model inputs'!AF19)</f>
        <v>18.388052141896566</v>
      </c>
      <c r="AH78" s="8">
        <f>IF('Model inputs'!AG19="","",'Model inputs'!AG19)</f>
        <v>18.83641057763967</v>
      </c>
      <c r="AI78" s="8">
        <f>IF('Model inputs'!AH19="","",'Model inputs'!AH19)</f>
        <v>19.27131826031048</v>
      </c>
    </row>
    <row r="79">
      <c r="A79" t="inlineStr" s="22">
        <is>
          <t xml:space="preserve">Acquisition spending</t>
        </is>
      </c>
      <c r="C79" s="6">
        <f>SUM('Model inputs'!C80,'Model inputs'!C81)</f>
        <v>0</v>
      </c>
      <c r="D79" s="6">
        <f>SUM('Model inputs'!D80,'Model inputs'!D81)</f>
        <v>0</v>
      </c>
      <c r="E79" s="6">
        <f>SUM('Model inputs'!E80,'Model inputs'!E81)</f>
        <v>0</v>
      </c>
      <c r="F79" s="6">
        <f>SUM('Model inputs'!F80,'Model inputs'!F81)</f>
        <v>0</v>
      </c>
      <c r="G79" s="6">
        <f>SUM('Model inputs'!G80,'Model inputs'!G81)</f>
        <v>0</v>
      </c>
      <c r="H79" s="6">
        <f>SUM('Model inputs'!H80,'Model inputs'!H81)</f>
        <v>0</v>
      </c>
      <c r="I79" s="6">
        <f>SUM('Model inputs'!I80,'Model inputs'!I81)</f>
        <v>0</v>
      </c>
      <c r="J79" s="6">
        <f>SUM('Model inputs'!J80,'Model inputs'!J81)</f>
        <v>0</v>
      </c>
      <c r="K79" s="6">
        <f>SUM('Model inputs'!K80,'Model inputs'!K81)</f>
        <v>0</v>
      </c>
      <c r="L79" s="6">
        <f>SUM('Model inputs'!L80,'Model inputs'!L81)</f>
        <v>150</v>
      </c>
      <c r="M79" s="6">
        <f>SUM('Model inputs'!M80,'Model inputs'!M81)</f>
        <v>150</v>
      </c>
      <c r="N79" s="6">
        <f>SUM('Model inputs'!N80,'Model inputs'!N81)</f>
        <v>150</v>
      </c>
      <c r="O79" s="6">
        <f>SUM('Model inputs'!O80,'Model inputs'!O81)</f>
        <v>150</v>
      </c>
      <c r="P79" s="6">
        <f>SUM('Model inputs'!P80,'Model inputs'!P81)</f>
        <v>150</v>
      </c>
      <c r="Q79" s="6">
        <f>SUM('Model inputs'!Q80,'Model inputs'!Q81)</f>
        <v>150</v>
      </c>
      <c r="R79" s="6">
        <f>SUM('Model inputs'!R80,'Model inputs'!R81)</f>
        <v>150</v>
      </c>
      <c r="S79" s="6">
        <f>SUM('Model inputs'!S80,'Model inputs'!S81)</f>
        <v>150</v>
      </c>
      <c r="T79" s="6">
        <f>SUM('Model inputs'!T80,'Model inputs'!T81)</f>
        <v>150</v>
      </c>
      <c r="U79" s="6">
        <f>SUM('Model inputs'!U80,'Model inputs'!U81)</f>
        <v>150</v>
      </c>
      <c r="V79" s="6">
        <f>SUM('Model inputs'!V80,'Model inputs'!V81)</f>
        <v>150</v>
      </c>
      <c r="W79" s="6">
        <f>SUM('Model inputs'!W80,'Model inputs'!W81)</f>
        <v>150</v>
      </c>
      <c r="X79" s="6">
        <f>SUM('Model inputs'!X80,'Model inputs'!X81)</f>
        <v>150</v>
      </c>
      <c r="Y79" s="6">
        <f>SUM('Model inputs'!Y80,'Model inputs'!Y81)</f>
        <v>150</v>
      </c>
      <c r="Z79" s="6">
        <f>SUM('Model inputs'!Z80,'Model inputs'!Z81)</f>
        <v>150</v>
      </c>
      <c r="AA79" s="6">
        <f>SUM('Model inputs'!AA80,'Model inputs'!AA81)</f>
        <v>150</v>
      </c>
      <c r="AB79" s="6">
        <f>SUM('Model inputs'!AB80,'Model inputs'!AB81)</f>
        <v>150</v>
      </c>
      <c r="AC79" s="6">
        <f>SUM('Model inputs'!AC80,'Model inputs'!AC81)</f>
        <v>150</v>
      </c>
      <c r="AD79" s="6">
        <f>SUM('Model inputs'!AD80,'Model inputs'!AD81)</f>
        <v>150</v>
      </c>
      <c r="AE79" s="6">
        <f>SUM('Model inputs'!AE80,'Model inputs'!AE81)</f>
        <v>150</v>
      </c>
      <c r="AF79" s="6">
        <f>SUM('Model inputs'!AF80,'Model inputs'!AF81)</f>
        <v>150</v>
      </c>
      <c r="AG79" s="6">
        <f>SUM('Model inputs'!AG80,'Model inputs'!AG81)</f>
        <v>150</v>
      </c>
      <c r="AH79" s="6">
        <f>SUM('Model inputs'!AH80,'Model inputs'!AH81)</f>
        <v>150</v>
      </c>
      <c r="AI79" s="6">
        <f>SUM('Model inputs'!AI80,'Model inputs'!AI81)</f>
        <v>150</v>
      </c>
    </row>
    <row r="80" outlineLevel="1">
      <c r="A80" t="inlineStr" s="23">
        <is>
          <t xml:space="preserve">Acquisition spending &gt; Growing shop</t>
        </is>
      </c>
      <c r="C80" s="9">
        <f>0</f>
        <v>0</v>
      </c>
      <c r="D80" s="9">
        <f>0</f>
        <v>0</v>
      </c>
      <c r="E80" s="9">
        <f>0</f>
        <v>0</v>
      </c>
      <c r="F80" s="9">
        <f>0</f>
        <v>0</v>
      </c>
      <c r="G80" s="9">
        <f>0</f>
        <v>0</v>
      </c>
      <c r="H80" s="9">
        <f>0</f>
        <v>0</v>
      </c>
      <c r="I80" s="9">
        <f>0</f>
        <v>0</v>
      </c>
      <c r="J80" s="9">
        <f>0</f>
        <v>0</v>
      </c>
      <c r="K80" s="9">
        <f>'SwapDesk — Operations · Merchan'!B54</f>
        <v>0</v>
      </c>
      <c r="L80" s="9">
        <f>'Model inputs'!L74*'Model inputs'!B13</f>
        <v>50</v>
      </c>
      <c r="M80" s="9">
        <f>'Model inputs'!M74*'Model inputs'!B13</f>
        <v>50</v>
      </c>
      <c r="N80" s="9">
        <f>'Model inputs'!N74*'Model inputs'!B13</f>
        <v>50</v>
      </c>
      <c r="O80" s="9">
        <f>'Model inputs'!O74*'Model inputs'!B13</f>
        <v>50</v>
      </c>
      <c r="P80" s="9">
        <f>'Model inputs'!P74*'Model inputs'!B13</f>
        <v>50</v>
      </c>
      <c r="Q80" s="9">
        <f>'Model inputs'!Q74*'Model inputs'!B13</f>
        <v>50</v>
      </c>
      <c r="R80" s="9">
        <f>'Model inputs'!R74*'Model inputs'!B13</f>
        <v>50</v>
      </c>
      <c r="S80" s="9">
        <f>'Model inputs'!S74*'Model inputs'!B13</f>
        <v>50</v>
      </c>
      <c r="T80" s="9">
        <f>'Model inputs'!T74*'Model inputs'!B13</f>
        <v>50</v>
      </c>
      <c r="U80" s="9">
        <f>'Model inputs'!U74*'Model inputs'!B13</f>
        <v>50</v>
      </c>
      <c r="V80" s="9">
        <f>'Model inputs'!V74*'Model inputs'!B13</f>
        <v>50</v>
      </c>
      <c r="W80" s="9">
        <f>'Model inputs'!W74*'Model inputs'!B13</f>
        <v>50</v>
      </c>
      <c r="X80" s="9">
        <f>'Model inputs'!X74*'Model inputs'!B13</f>
        <v>50</v>
      </c>
      <c r="Y80" s="9">
        <f>'Model inputs'!Y74*'Model inputs'!B13</f>
        <v>50</v>
      </c>
      <c r="Z80" s="9">
        <f>'Model inputs'!Z74*'Model inputs'!B13</f>
        <v>50</v>
      </c>
      <c r="AA80" s="9">
        <f>'Model inputs'!AA74*'Model inputs'!B13</f>
        <v>50</v>
      </c>
      <c r="AB80" s="9">
        <f>'Model inputs'!AB74*'Model inputs'!B13</f>
        <v>50</v>
      </c>
      <c r="AC80" s="9">
        <f>'Model inputs'!AC74*'Model inputs'!B13</f>
        <v>50</v>
      </c>
      <c r="AD80" s="9">
        <f>'Model inputs'!AD74*'Model inputs'!B13</f>
        <v>50</v>
      </c>
      <c r="AE80" s="9">
        <f>'Model inputs'!AE74*'Model inputs'!B13</f>
        <v>50</v>
      </c>
      <c r="AF80" s="9">
        <f>'Model inputs'!AF74*'Model inputs'!B13</f>
        <v>50</v>
      </c>
      <c r="AG80" s="9">
        <f>'Model inputs'!AG74*'Model inputs'!B13</f>
        <v>50</v>
      </c>
      <c r="AH80" s="9">
        <f>'Model inputs'!AH74*'Model inputs'!B13</f>
        <v>50</v>
      </c>
      <c r="AI80" s="9">
        <f>'Model inputs'!AI74*'Model inputs'!B13</f>
        <v>50</v>
      </c>
    </row>
    <row r="81" outlineLevel="1">
      <c r="A81" t="inlineStr" s="23">
        <is>
          <t xml:space="preserve">Acquisition spending &gt; Small shop</t>
        </is>
      </c>
      <c r="C81" s="9">
        <f>0</f>
        <v>0</v>
      </c>
      <c r="D81" s="9">
        <f>0</f>
        <v>0</v>
      </c>
      <c r="E81" s="9">
        <f>0</f>
        <v>0</v>
      </c>
      <c r="F81" s="9">
        <f>0</f>
        <v>0</v>
      </c>
      <c r="G81" s="9">
        <f>0</f>
        <v>0</v>
      </c>
      <c r="H81" s="9">
        <f>0</f>
        <v>0</v>
      </c>
      <c r="I81" s="9">
        <f>0</f>
        <v>0</v>
      </c>
      <c r="J81" s="9">
        <f>0</f>
        <v>0</v>
      </c>
      <c r="K81" s="9">
        <f>'SwapDesk — Operations · Merchan'!B55</f>
        <v>0</v>
      </c>
      <c r="L81" s="9">
        <f>'Model inputs'!L75*'Model inputs'!B13</f>
        <v>100</v>
      </c>
      <c r="M81" s="9">
        <f>'Model inputs'!M75*'Model inputs'!B13</f>
        <v>100</v>
      </c>
      <c r="N81" s="9">
        <f>'Model inputs'!N75*'Model inputs'!B13</f>
        <v>100</v>
      </c>
      <c r="O81" s="9">
        <f>'Model inputs'!O75*'Model inputs'!B13</f>
        <v>100</v>
      </c>
      <c r="P81" s="9">
        <f>'Model inputs'!P75*'Model inputs'!B13</f>
        <v>100</v>
      </c>
      <c r="Q81" s="9">
        <f>'Model inputs'!Q75*'Model inputs'!B13</f>
        <v>100</v>
      </c>
      <c r="R81" s="9">
        <f>'Model inputs'!R75*'Model inputs'!B13</f>
        <v>100</v>
      </c>
      <c r="S81" s="9">
        <f>'Model inputs'!S75*'Model inputs'!B13</f>
        <v>100</v>
      </c>
      <c r="T81" s="9">
        <f>'Model inputs'!T75*'Model inputs'!B13</f>
        <v>100</v>
      </c>
      <c r="U81" s="9">
        <f>'Model inputs'!U75*'Model inputs'!B13</f>
        <v>100</v>
      </c>
      <c r="V81" s="9">
        <f>'Model inputs'!V75*'Model inputs'!B13</f>
        <v>100</v>
      </c>
      <c r="W81" s="9">
        <f>'Model inputs'!W75*'Model inputs'!B13</f>
        <v>100</v>
      </c>
      <c r="X81" s="9">
        <f>'Model inputs'!X75*'Model inputs'!B13</f>
        <v>100</v>
      </c>
      <c r="Y81" s="9">
        <f>'Model inputs'!Y75*'Model inputs'!B13</f>
        <v>100</v>
      </c>
      <c r="Z81" s="9">
        <f>'Model inputs'!Z75*'Model inputs'!B13</f>
        <v>100</v>
      </c>
      <c r="AA81" s="9">
        <f>'Model inputs'!AA75*'Model inputs'!B13</f>
        <v>100</v>
      </c>
      <c r="AB81" s="9">
        <f>'Model inputs'!AB75*'Model inputs'!B13</f>
        <v>100</v>
      </c>
      <c r="AC81" s="9">
        <f>'Model inputs'!AC75*'Model inputs'!B13</f>
        <v>100</v>
      </c>
      <c r="AD81" s="9">
        <f>'Model inputs'!AD75*'Model inputs'!B13</f>
        <v>100</v>
      </c>
      <c r="AE81" s="9">
        <f>'Model inputs'!AE75*'Model inputs'!B13</f>
        <v>100</v>
      </c>
      <c r="AF81" s="9">
        <f>'Model inputs'!AF75*'Model inputs'!B13</f>
        <v>100</v>
      </c>
      <c r="AG81" s="9">
        <f>'Model inputs'!AG75*'Model inputs'!B13</f>
        <v>100</v>
      </c>
      <c r="AH81" s="9">
        <f>'Model inputs'!AH75*'Model inputs'!B13</f>
        <v>100</v>
      </c>
      <c r="AI81" s="9">
        <f>'Model inputs'!AI75*'Model inputs'!B13</f>
        <v>100</v>
      </c>
    </row>
    <row r="82">
      <c r="A82" t="inlineStr" s="22">
        <is>
          <t xml:space="preserve">Overage revenue</t>
        </is>
      </c>
      <c r="C82" s="10">
        <f>SUM('Model inputs'!C83,'Model inputs'!C84)</f>
        <v>0</v>
      </c>
      <c r="D82" s="10">
        <f>SUM('Model inputs'!D83,'Model inputs'!D84)</f>
        <v>0</v>
      </c>
      <c r="E82" s="10">
        <f>SUM('Model inputs'!E83,'Model inputs'!E84)</f>
        <v>0</v>
      </c>
      <c r="F82" s="10">
        <f>SUM('Model inputs'!F83,'Model inputs'!F84)</f>
        <v>0</v>
      </c>
      <c r="G82" s="10">
        <f>SUM('Model inputs'!G83,'Model inputs'!G84)</f>
        <v>0</v>
      </c>
      <c r="H82" s="10">
        <f>SUM('Model inputs'!H83,'Model inputs'!H84)</f>
        <v>0</v>
      </c>
      <c r="I82" s="10">
        <f>SUM('Model inputs'!I83,'Model inputs'!I84)</f>
        <v>0</v>
      </c>
      <c r="J82" s="10">
        <f>SUM('Model inputs'!J83,'Model inputs'!J84)</f>
        <v>0</v>
      </c>
      <c r="K82" s="10">
        <f>SUM('Model inputs'!K83,'Model inputs'!K84)</f>
        <v>0</v>
      </c>
      <c r="L82" s="10">
        <f>SUM('Model inputs'!L83,'Model inputs'!L84)</f>
        <v>196.8</v>
      </c>
      <c r="M82" s="10">
        <f>SUM('Model inputs'!M83,'Model inputs'!M84)</f>
        <v>232.864</v>
      </c>
      <c r="N82" s="10">
        <f>SUM('Model inputs'!N83,'Model inputs'!N84)</f>
        <v>268.20672</v>
      </c>
      <c r="O82" s="10">
        <f>SUM('Model inputs'!O83,'Model inputs'!O84)</f>
        <v>302.8425856</v>
      </c>
      <c r="P82" s="10">
        <f>SUM('Model inputs'!P83,'Model inputs'!P84)</f>
        <v>336.785733888</v>
      </c>
      <c r="Q82" s="10">
        <f>SUM('Model inputs'!Q83,'Model inputs'!Q84)</f>
        <v>370.05001921023995</v>
      </c>
      <c r="R82" s="10">
        <f>SUM('Model inputs'!R83,'Model inputs'!R84)</f>
        <v>402.64901882603516</v>
      </c>
      <c r="S82" s="10">
        <f>SUM('Model inputs'!S83,'Model inputs'!S84)</f>
        <v>434.5960384495145</v>
      </c>
      <c r="T82" s="10">
        <f>SUM('Model inputs'!T83,'Model inputs'!T84)</f>
        <v>465.9041176805242</v>
      </c>
      <c r="U82" s="10">
        <f>SUM('Model inputs'!U83,'Model inputs'!U84)</f>
        <v>496.5860353269137</v>
      </c>
      <c r="V82" s="10">
        <f>SUM('Model inputs'!V83,'Model inputs'!V84)</f>
        <v>526.6543146203754</v>
      </c>
      <c r="W82" s="10">
        <f>SUM('Model inputs'!W83,'Model inputs'!W84)</f>
        <v>556.121228327968</v>
      </c>
      <c r="X82" s="10">
        <f>SUM('Model inputs'!X83,'Model inputs'!X84)</f>
        <v>584.9988037614086</v>
      </c>
      <c r="Y82" s="10">
        <f>SUM('Model inputs'!Y83,'Model inputs'!Y84)</f>
        <v>613.2988276861804</v>
      </c>
      <c r="Z82" s="10">
        <f>SUM('Model inputs'!Z83,'Model inputs'!Z84)</f>
        <v>641.0328511324567</v>
      </c>
      <c r="AA82" s="10">
        <f>SUM('Model inputs'!AA83,'Model inputs'!AA84)</f>
        <v>668.2121941098076</v>
      </c>
      <c r="AB82" s="10">
        <f>SUM('Model inputs'!AB83,'Model inputs'!AB84)</f>
        <v>694.8479502276115</v>
      </c>
      <c r="AC82" s="10">
        <f>SUM('Model inputs'!AC83,'Model inputs'!AC84)</f>
        <v>720.9509912230592</v>
      </c>
      <c r="AD82" s="10">
        <f>SUM('Model inputs'!AD83,'Model inputs'!AD84)</f>
        <v>746.5319713985981</v>
      </c>
      <c r="AE82" s="10">
        <f>SUM('Model inputs'!AE83,'Model inputs'!AE84)</f>
        <v>771.6013319706262</v>
      </c>
      <c r="AF82" s="10">
        <f>SUM('Model inputs'!AF83,'Model inputs'!AF84)</f>
        <v>796.1693053312136</v>
      </c>
      <c r="AG82" s="10">
        <f>SUM('Model inputs'!AG83,'Model inputs'!AG84)</f>
        <v>820.2459192245894</v>
      </c>
      <c r="AH82" s="10">
        <f>SUM('Model inputs'!AH83,'Model inputs'!AH84)</f>
        <v>843.8410008400976</v>
      </c>
      <c r="AI82" s="10">
        <f>SUM('Model inputs'!AI83,'Model inputs'!AI84)</f>
        <v>866.9641808232956</v>
      </c>
    </row>
    <row r="83" outlineLevel="1">
      <c r="A83" t="inlineStr" s="23">
        <is>
          <t xml:space="preserve">Overage revenue &gt; Growing shop</t>
        </is>
      </c>
      <c r="C83" s="8">
        <f>0</f>
        <v>0</v>
      </c>
      <c r="D83" s="8">
        <f>0</f>
        <v>0</v>
      </c>
      <c r="E83" s="8">
        <f>0</f>
        <v>0</v>
      </c>
      <c r="F83" s="8">
        <f>0</f>
        <v>0</v>
      </c>
      <c r="G83" s="8">
        <f>0</f>
        <v>0</v>
      </c>
      <c r="H83" s="8">
        <f>0</f>
        <v>0</v>
      </c>
      <c r="I83" s="8">
        <f>0</f>
        <v>0</v>
      </c>
      <c r="J83" s="8">
        <f>0</f>
        <v>0</v>
      </c>
      <c r="K83" s="8">
        <f>'SwapDesk — Operations · Merchan'!B36</f>
        <v>0</v>
      </c>
      <c r="L83" s="8">
        <f>'Model inputs'!L18*MAX('Model inputs'!B7*'Model inputs'!AJ64-'Model inputs'!B34,0)*'Model inputs'!B50</f>
        <v>196.8</v>
      </c>
      <c r="M83" s="8">
        <f>'Model inputs'!M18*MAX('Model inputs'!B7*'Model inputs'!AJ64-'Model inputs'!B34,0)*'Model inputs'!B50</f>
        <v>232.864</v>
      </c>
      <c r="N83" s="8">
        <f>'Model inputs'!N18*MAX('Model inputs'!B7*'Model inputs'!AJ64-'Model inputs'!B34,0)*'Model inputs'!B50</f>
        <v>268.20672</v>
      </c>
      <c r="O83" s="8">
        <f>'Model inputs'!O18*MAX('Model inputs'!B7*'Model inputs'!AJ64-'Model inputs'!B34,0)*'Model inputs'!B50</f>
        <v>302.8425856</v>
      </c>
      <c r="P83" s="8">
        <f>'Model inputs'!P18*MAX('Model inputs'!B7*'Model inputs'!AJ64-'Model inputs'!B34,0)*'Model inputs'!B50</f>
        <v>336.785733888</v>
      </c>
      <c r="Q83" s="8">
        <f>'Model inputs'!Q18*MAX('Model inputs'!B7*'Model inputs'!AJ64-'Model inputs'!B34,0)*'Model inputs'!B50</f>
        <v>370.05001921023995</v>
      </c>
      <c r="R83" s="8">
        <f>'Model inputs'!R18*MAX('Model inputs'!B7*'Model inputs'!AJ64-'Model inputs'!B34,0)*'Model inputs'!B50</f>
        <v>402.64901882603516</v>
      </c>
      <c r="S83" s="8">
        <f>'Model inputs'!S18*MAX('Model inputs'!B7*'Model inputs'!AJ64-'Model inputs'!B34,0)*'Model inputs'!B50</f>
        <v>434.5960384495145</v>
      </c>
      <c r="T83" s="8">
        <f>'Model inputs'!T18*MAX('Model inputs'!B7*'Model inputs'!AJ64-'Model inputs'!B34,0)*'Model inputs'!B50</f>
        <v>465.9041176805242</v>
      </c>
      <c r="U83" s="8">
        <f>'Model inputs'!U18*MAX('Model inputs'!B7*'Model inputs'!AJ64-'Model inputs'!B34,0)*'Model inputs'!B50</f>
        <v>496.5860353269137</v>
      </c>
      <c r="V83" s="8">
        <f>'Model inputs'!V18*MAX('Model inputs'!B7*'Model inputs'!AJ64-'Model inputs'!B34,0)*'Model inputs'!B50</f>
        <v>526.6543146203754</v>
      </c>
      <c r="W83" s="8">
        <f>'Model inputs'!W18*MAX('Model inputs'!B7*'Model inputs'!AJ64-'Model inputs'!B34,0)*'Model inputs'!B50</f>
        <v>556.121228327968</v>
      </c>
      <c r="X83" s="8">
        <f>'Model inputs'!X18*MAX('Model inputs'!B7*'Model inputs'!AJ64-'Model inputs'!B34,0)*'Model inputs'!B50</f>
        <v>584.9988037614086</v>
      </c>
      <c r="Y83" s="8">
        <f>'Model inputs'!Y18*MAX('Model inputs'!B7*'Model inputs'!AJ64-'Model inputs'!B34,0)*'Model inputs'!B50</f>
        <v>613.2988276861804</v>
      </c>
      <c r="Z83" s="8">
        <f>'Model inputs'!Z18*MAX('Model inputs'!B7*'Model inputs'!AJ64-'Model inputs'!B34,0)*'Model inputs'!B50</f>
        <v>641.0328511324567</v>
      </c>
      <c r="AA83" s="8">
        <f>'Model inputs'!AA18*MAX('Model inputs'!B7*'Model inputs'!AJ64-'Model inputs'!B34,0)*'Model inputs'!B50</f>
        <v>668.2121941098076</v>
      </c>
      <c r="AB83" s="8">
        <f>'Model inputs'!AB18*MAX('Model inputs'!B7*'Model inputs'!AJ64-'Model inputs'!B34,0)*'Model inputs'!B50</f>
        <v>694.8479502276115</v>
      </c>
      <c r="AC83" s="8">
        <f>'Model inputs'!AC18*MAX('Model inputs'!B7*'Model inputs'!AJ64-'Model inputs'!B34,0)*'Model inputs'!B50</f>
        <v>720.9509912230592</v>
      </c>
      <c r="AD83" s="8">
        <f>'Model inputs'!AD18*MAX('Model inputs'!B7*'Model inputs'!AJ64-'Model inputs'!B34,0)*'Model inputs'!B50</f>
        <v>746.5319713985981</v>
      </c>
      <c r="AE83" s="8">
        <f>'Model inputs'!AE18*MAX('Model inputs'!B7*'Model inputs'!AJ64-'Model inputs'!B34,0)*'Model inputs'!B50</f>
        <v>771.6013319706262</v>
      </c>
      <c r="AF83" s="8">
        <f>'Model inputs'!AF18*MAX('Model inputs'!B7*'Model inputs'!AJ64-'Model inputs'!B34,0)*'Model inputs'!B50</f>
        <v>796.1693053312136</v>
      </c>
      <c r="AG83" s="8">
        <f>'Model inputs'!AG18*MAX('Model inputs'!B7*'Model inputs'!AJ64-'Model inputs'!B34,0)*'Model inputs'!B50</f>
        <v>820.2459192245894</v>
      </c>
      <c r="AH83" s="8">
        <f>'Model inputs'!AH18*MAX('Model inputs'!B7*'Model inputs'!AJ64-'Model inputs'!B34,0)*'Model inputs'!B50</f>
        <v>843.8410008400976</v>
      </c>
      <c r="AI83" s="8">
        <f>'Model inputs'!AI18*MAX('Model inputs'!B7*'Model inputs'!AJ64-'Model inputs'!B34,0)*'Model inputs'!B50</f>
        <v>866.9641808232956</v>
      </c>
    </row>
    <row r="84" outlineLevel="1">
      <c r="A84" t="inlineStr" s="23">
        <is>
          <t xml:space="preserve">Overage revenue &gt; Small shop</t>
        </is>
      </c>
      <c r="C84" s="8">
        <f>0</f>
        <v>0</v>
      </c>
      <c r="D84" s="8">
        <f>0</f>
        <v>0</v>
      </c>
      <c r="E84" s="8">
        <f>0</f>
        <v>0</v>
      </c>
      <c r="F84" s="8">
        <f>0</f>
        <v>0</v>
      </c>
      <c r="G84" s="8">
        <f>0</f>
        <v>0</v>
      </c>
      <c r="H84" s="8">
        <f>0</f>
        <v>0</v>
      </c>
      <c r="I84" s="8">
        <f>0</f>
        <v>0</v>
      </c>
      <c r="J84" s="8">
        <f>0</f>
        <v>0</v>
      </c>
      <c r="K84" s="8">
        <f>'SwapDesk — Operations · Merchan'!B37</f>
        <v>0</v>
      </c>
      <c r="L84" s="8">
        <f>'Model inputs'!L19*MAX('Model inputs'!B8*'Model inputs'!AJ65-'Model inputs'!B34,0)*'Model inputs'!B50</f>
        <v>0</v>
      </c>
      <c r="M84" s="8">
        <f>'Model inputs'!M19*MAX('Model inputs'!B8*'Model inputs'!AJ65-'Model inputs'!B34,0)*'Model inputs'!B50</f>
        <v>0</v>
      </c>
      <c r="N84" s="8">
        <f>'Model inputs'!N19*MAX('Model inputs'!B8*'Model inputs'!AJ65-'Model inputs'!B34,0)*'Model inputs'!B50</f>
        <v>0</v>
      </c>
      <c r="O84" s="8">
        <f>'Model inputs'!O19*MAX('Model inputs'!B8*'Model inputs'!AJ65-'Model inputs'!B34,0)*'Model inputs'!B50</f>
        <v>0</v>
      </c>
      <c r="P84" s="8">
        <f>'Model inputs'!P19*MAX('Model inputs'!B8*'Model inputs'!AJ65-'Model inputs'!B34,0)*'Model inputs'!B50</f>
        <v>0</v>
      </c>
      <c r="Q84" s="8">
        <f>'Model inputs'!Q19*MAX('Model inputs'!B8*'Model inputs'!AJ65-'Model inputs'!B34,0)*'Model inputs'!B50</f>
        <v>0</v>
      </c>
      <c r="R84" s="8">
        <f>'Model inputs'!R19*MAX('Model inputs'!B8*'Model inputs'!AJ65-'Model inputs'!B34,0)*'Model inputs'!B50</f>
        <v>0</v>
      </c>
      <c r="S84" s="8">
        <f>'Model inputs'!S19*MAX('Model inputs'!B8*'Model inputs'!AJ65-'Model inputs'!B34,0)*'Model inputs'!B50</f>
        <v>0</v>
      </c>
      <c r="T84" s="8">
        <f>'Model inputs'!T19*MAX('Model inputs'!B8*'Model inputs'!AJ65-'Model inputs'!B34,0)*'Model inputs'!B50</f>
        <v>0</v>
      </c>
      <c r="U84" s="8">
        <f>'Model inputs'!U19*MAX('Model inputs'!B8*'Model inputs'!AJ65-'Model inputs'!B34,0)*'Model inputs'!B50</f>
        <v>0</v>
      </c>
      <c r="V84" s="8">
        <f>'Model inputs'!V19*MAX('Model inputs'!B8*'Model inputs'!AJ65-'Model inputs'!B34,0)*'Model inputs'!B50</f>
        <v>0</v>
      </c>
      <c r="W84" s="8">
        <f>'Model inputs'!W19*MAX('Model inputs'!B8*'Model inputs'!AJ65-'Model inputs'!B34,0)*'Model inputs'!B50</f>
        <v>0</v>
      </c>
      <c r="X84" s="8">
        <f>'Model inputs'!X19*MAX('Model inputs'!B8*'Model inputs'!AJ65-'Model inputs'!B34,0)*'Model inputs'!B50</f>
        <v>0</v>
      </c>
      <c r="Y84" s="8">
        <f>'Model inputs'!Y19*MAX('Model inputs'!B8*'Model inputs'!AJ65-'Model inputs'!B34,0)*'Model inputs'!B50</f>
        <v>0</v>
      </c>
      <c r="Z84" s="8">
        <f>'Model inputs'!Z19*MAX('Model inputs'!B8*'Model inputs'!AJ65-'Model inputs'!B34,0)*'Model inputs'!B50</f>
        <v>0</v>
      </c>
      <c r="AA84" s="8">
        <f>'Model inputs'!AA19*MAX('Model inputs'!B8*'Model inputs'!AJ65-'Model inputs'!B34,0)*'Model inputs'!B50</f>
        <v>0</v>
      </c>
      <c r="AB84" s="8">
        <f>'Model inputs'!AB19*MAX('Model inputs'!B8*'Model inputs'!AJ65-'Model inputs'!B34,0)*'Model inputs'!B50</f>
        <v>0</v>
      </c>
      <c r="AC84" s="8">
        <f>'Model inputs'!AC19*MAX('Model inputs'!B8*'Model inputs'!AJ65-'Model inputs'!B34,0)*'Model inputs'!B50</f>
        <v>0</v>
      </c>
      <c r="AD84" s="8">
        <f>'Model inputs'!AD19*MAX('Model inputs'!B8*'Model inputs'!AJ65-'Model inputs'!B34,0)*'Model inputs'!B50</f>
        <v>0</v>
      </c>
      <c r="AE84" s="8">
        <f>'Model inputs'!AE19*MAX('Model inputs'!B8*'Model inputs'!AJ65-'Model inputs'!B34,0)*'Model inputs'!B50</f>
        <v>0</v>
      </c>
      <c r="AF84" s="8">
        <f>'Model inputs'!AF19*MAX('Model inputs'!B8*'Model inputs'!AJ65-'Model inputs'!B34,0)*'Model inputs'!B50</f>
        <v>0</v>
      </c>
      <c r="AG84" s="8">
        <f>'Model inputs'!AG19*MAX('Model inputs'!B8*'Model inputs'!AJ65-'Model inputs'!B34,0)*'Model inputs'!B50</f>
        <v>0</v>
      </c>
      <c r="AH84" s="8">
        <f>'Model inputs'!AH19*MAX('Model inputs'!B8*'Model inputs'!AJ65-'Model inputs'!B34,0)*'Model inputs'!B50</f>
        <v>0</v>
      </c>
      <c r="AI84" s="8">
        <f>'Model inputs'!AI19*MAX('Model inputs'!B8*'Model inputs'!AJ65-'Model inputs'!B34,0)*'Model inputs'!B50</f>
        <v>0</v>
      </c>
    </row>
    <row r="85">
      <c r="A85" t="inlineStr" s="22">
        <is>
          <t xml:space="preserve">Nonbillable cases</t>
        </is>
      </c>
      <c r="K85" s="10">
        <f>SUM('Model inputs'!K86,'Model inputs'!K87)</f>
        <v>0</v>
      </c>
      <c r="L85" s="10">
        <f>SUM('Model inputs'!L86,'Model inputs'!L87)</f>
        <v>590.0999999999999</v>
      </c>
      <c r="M85" s="10">
        <f>SUM('Model inputs'!M86,'Model inputs'!M87)</f>
        <v>687.8409999999999</v>
      </c>
      <c r="N85" s="10">
        <f>SUM('Model inputs'!N86,'Model inputs'!N87)</f>
        <v>783.28089</v>
      </c>
      <c r="O85" s="10">
        <f>SUM('Model inputs'!O86,'Model inputs'!O87)</f>
        <v>876.4760808999999</v>
      </c>
      <c r="P85" s="10">
        <f>SUM('Model inputs'!P86,'Model inputs'!P87)</f>
        <v>967.4815437209999</v>
      </c>
      <c r="Q85" s="10">
        <f>SUM('Model inputs'!Q86,'Model inputs'!Q87)</f>
        <v>1056.35084775241</v>
      </c>
      <c r="R85" s="10">
        <f>SUM('Model inputs'!R86,'Model inputs'!R87)</f>
        <v>1143.1361976560167</v>
      </c>
      <c r="S85" s="10">
        <f>SUM('Model inputs'!S86,'Model inputs'!S87)</f>
        <v>1227.8884695557917</v>
      </c>
      <c r="T85" s="10">
        <f>SUM('Model inputs'!T86,'Model inputs'!T87)</f>
        <v>1310.6572461419846</v>
      </c>
      <c r="U85" s="10">
        <f>SUM('Model inputs'!U86,'Model inputs'!U87)</f>
        <v>1391.4908508171343</v>
      </c>
      <c r="V85" s="10">
        <f>SUM('Model inputs'!V86,'Model inputs'!V87)</f>
        <v>1470.4363809108413</v>
      </c>
      <c r="W85" s="10">
        <f>SUM('Model inputs'!W86,'Model inputs'!W87)</f>
        <v>1547.5397399893727</v>
      </c>
      <c r="X85" s="10">
        <f>SUM('Model inputs'!X86,'Model inputs'!X87)</f>
        <v>1622.8456692854306</v>
      </c>
      <c r="Y85" s="10">
        <f>SUM('Model inputs'!Y86,'Model inputs'!Y87)</f>
        <v>1696.3977782726927</v>
      </c>
      <c r="Z85" s="10">
        <f>SUM('Model inputs'!Z86,'Model inputs'!Z87)</f>
        <v>1768.23857440902</v>
      </c>
      <c r="AA85" s="10">
        <f>SUM('Model inputs'!AA86,'Model inputs'!AA87)</f>
        <v>1838.409492071567</v>
      </c>
      <c r="AB85" s="10">
        <f>SUM('Model inputs'!AB86,'Model inputs'!AB87)</f>
        <v>1906.9509207063418</v>
      </c>
      <c r="AC85" s="10">
        <f>SUM('Model inputs'!AC86,'Model inputs'!AC87)</f>
        <v>1973.902232214135</v>
      </c>
      <c r="AD85" s="10">
        <f>SUM('Model inputs'!AD86,'Model inputs'!AD87)</f>
        <v>2039.3018075941145</v>
      </c>
      <c r="AE85" s="10">
        <f>SUM('Model inputs'!AE86,'Model inputs'!AE87)</f>
        <v>2103.1870628657666</v>
      </c>
      <c r="AF85" s="10">
        <f>SUM('Model inputs'!AF86,'Model inputs'!AF87)</f>
        <v>2165.5944742892793</v>
      </c>
      <c r="AG85" s="10">
        <f>SUM('Model inputs'!AG86,'Model inputs'!AG87)</f>
        <v>2226.559602903897</v>
      </c>
      <c r="AH85" s="10">
        <f>SUM('Model inputs'!AH86,'Model inputs'!AH87)</f>
        <v>2286.117118403211</v>
      </c>
      <c r="AI85" s="10">
        <f>SUM('Model inputs'!AI86,'Model inputs'!AI87)</f>
        <v>2344.300822365816</v>
      </c>
    </row>
    <row r="86" outlineLevel="1">
      <c r="A86" t="inlineStr" s="23">
        <is>
          <t xml:space="preserve">Nonbillable cases &gt; Growing shop</t>
        </is>
      </c>
      <c r="K86" s="8">
        <f>'SwapDesk — Operations · Merchan'!B24</f>
        <v>0</v>
      </c>
      <c r="L86" s="8">
        <f>'Model inputs'!L107-'Model inputs'!L101</f>
        <v>344.4</v>
      </c>
      <c r="M86" s="8">
        <f>'Model inputs'!M107-'Model inputs'!M101</f>
        <v>407.51199999999994</v>
      </c>
      <c r="N86" s="8">
        <f>'Model inputs'!N107-'Model inputs'!N101</f>
        <v>469.36176</v>
      </c>
      <c r="O86" s="8">
        <f>'Model inputs'!O107-'Model inputs'!O101</f>
        <v>529.9745248</v>
      </c>
      <c r="P86" s="8">
        <f>'Model inputs'!P107-'Model inputs'!P101</f>
        <v>589.3750343039999</v>
      </c>
      <c r="Q86" s="8">
        <f>'Model inputs'!Q107-'Model inputs'!Q101</f>
        <v>647.5875336179199</v>
      </c>
      <c r="R86" s="8">
        <f>'Model inputs'!R107-'Model inputs'!R101</f>
        <v>704.6357829455615</v>
      </c>
      <c r="S86" s="8">
        <f>'Model inputs'!S107-'Model inputs'!S101</f>
        <v>760.5430672866503</v>
      </c>
      <c r="T86" s="8">
        <f>'Model inputs'!T107-'Model inputs'!T101</f>
        <v>815.3322059409172</v>
      </c>
      <c r="U86" s="8">
        <f>'Model inputs'!U107-'Model inputs'!U101</f>
        <v>869.025561822099</v>
      </c>
      <c r="V86" s="8">
        <f>'Model inputs'!V107-'Model inputs'!V101</f>
        <v>921.6450505856571</v>
      </c>
      <c r="W86" s="8">
        <f>'Model inputs'!W107-'Model inputs'!W101</f>
        <v>973.2121495739439</v>
      </c>
      <c r="X86" s="8">
        <f>'Model inputs'!X107-'Model inputs'!X101</f>
        <v>1023.7479065824648</v>
      </c>
      <c r="Y86" s="8">
        <f>'Model inputs'!Y107-'Model inputs'!Y101</f>
        <v>1073.2729484508156</v>
      </c>
      <c r="Z86" s="8">
        <f>'Model inputs'!Z107-'Model inputs'!Z101</f>
        <v>1121.8074894817992</v>
      </c>
      <c r="AA86" s="8">
        <f>'Model inputs'!AA107-'Model inputs'!AA101</f>
        <v>1169.371339692163</v>
      </c>
      <c r="AB86" s="8">
        <f>'Model inputs'!AB107-'Model inputs'!AB101</f>
        <v>1215.9839128983199</v>
      </c>
      <c r="AC86" s="8">
        <f>'Model inputs'!AC107-'Model inputs'!AC101</f>
        <v>1261.6642346403537</v>
      </c>
      <c r="AD86" s="8">
        <f>'Model inputs'!AD107-'Model inputs'!AD101</f>
        <v>1306.4309499475467</v>
      </c>
      <c r="AE86" s="8">
        <f>'Model inputs'!AE107-'Model inputs'!AE101</f>
        <v>1350.3023309485957</v>
      </c>
      <c r="AF86" s="8">
        <f>'Model inputs'!AF107-'Model inputs'!AF101</f>
        <v>1393.2962843296236</v>
      </c>
      <c r="AG86" s="8">
        <f>'Model inputs'!AG107-'Model inputs'!AG101</f>
        <v>1435.430358643031</v>
      </c>
      <c r="AH86" s="8">
        <f>'Model inputs'!AH107-'Model inputs'!AH101</f>
        <v>1476.7217514701706</v>
      </c>
      <c r="AI86" s="8">
        <f>'Model inputs'!AI107-'Model inputs'!AI101</f>
        <v>1517.187316440767</v>
      </c>
    </row>
    <row r="87" outlineLevel="1">
      <c r="A87" t="inlineStr" s="23">
        <is>
          <t xml:space="preserve">Nonbillable cases &gt; Small shop</t>
        </is>
      </c>
      <c r="K87" s="8">
        <f>'SwapDesk — Operations · Merchan'!B25</f>
        <v>0</v>
      </c>
      <c r="L87" s="8">
        <f>'Model inputs'!L108-'Model inputs'!L102</f>
        <v>245.7</v>
      </c>
      <c r="M87" s="8">
        <f>'Model inputs'!M108-'Model inputs'!M102</f>
        <v>280.32899999999995</v>
      </c>
      <c r="N87" s="8">
        <f>'Model inputs'!N108-'Model inputs'!N102</f>
        <v>313.91913</v>
      </c>
      <c r="O87" s="8">
        <f>'Model inputs'!O108-'Model inputs'!O102</f>
        <v>346.5015560999999</v>
      </c>
      <c r="P87" s="8">
        <f>'Model inputs'!P108-'Model inputs'!P102</f>
        <v>378.106509417</v>
      </c>
      <c r="Q87" s="8">
        <f>'Model inputs'!Q108-'Model inputs'!Q102</f>
        <v>408.76331413449</v>
      </c>
      <c r="R87" s="8">
        <f>'Model inputs'!R108-'Model inputs'!R102</f>
        <v>438.5004147104553</v>
      </c>
      <c r="S87" s="8">
        <f>'Model inputs'!S108-'Model inputs'!S102</f>
        <v>467.3454022691416</v>
      </c>
      <c r="T87" s="8">
        <f>'Model inputs'!T108-'Model inputs'!T102</f>
        <v>495.3250402010674</v>
      </c>
      <c r="U87" s="8">
        <f>'Model inputs'!U108-'Model inputs'!U102</f>
        <v>522.4652889950354</v>
      </c>
      <c r="V87" s="8">
        <f>'Model inputs'!V108-'Model inputs'!V102</f>
        <v>548.7913303251843</v>
      </c>
      <c r="W87" s="8">
        <f>'Model inputs'!W108-'Model inputs'!W102</f>
        <v>574.3275904154289</v>
      </c>
      <c r="X87" s="8">
        <f>'Model inputs'!X108-'Model inputs'!X102</f>
        <v>599.0977627029658</v>
      </c>
      <c r="Y87" s="8">
        <f>'Model inputs'!Y108-'Model inputs'!Y102</f>
        <v>623.124829821877</v>
      </c>
      <c r="Z87" s="8">
        <f>'Model inputs'!Z108-'Model inputs'!Z102</f>
        <v>646.4310849272208</v>
      </c>
      <c r="AA87" s="8">
        <f>'Model inputs'!AA108-'Model inputs'!AA102</f>
        <v>669.038152379404</v>
      </c>
      <c r="AB87" s="8">
        <f>'Model inputs'!AB108-'Model inputs'!AB102</f>
        <v>690.9670078080219</v>
      </c>
      <c r="AC87" s="8">
        <f>'Model inputs'!AC108-'Model inputs'!AC102</f>
        <v>712.2379975737813</v>
      </c>
      <c r="AD87" s="8">
        <f>'Model inputs'!AD108-'Model inputs'!AD102</f>
        <v>732.8708576465679</v>
      </c>
      <c r="AE87" s="8">
        <f>'Model inputs'!AE108-'Model inputs'!AE102</f>
        <v>752.8847319171709</v>
      </c>
      <c r="AF87" s="8">
        <f>'Model inputs'!AF108-'Model inputs'!AF102</f>
        <v>772.2981899596557</v>
      </c>
      <c r="AG87" s="8">
        <f>'Model inputs'!AG108-'Model inputs'!AG102</f>
        <v>791.129244260866</v>
      </c>
      <c r="AH87" s="8">
        <f>'Model inputs'!AH108-'Model inputs'!AH102</f>
        <v>809.3953669330401</v>
      </c>
      <c r="AI87" s="8">
        <f>'Model inputs'!AI108-'Model inputs'!AI102</f>
        <v>827.1135059250489</v>
      </c>
    </row>
    <row r="88">
      <c r="A88" t="inlineStr" s="22">
        <is>
          <t xml:space="preserve">Onboarding cost</t>
        </is>
      </c>
      <c r="K88" s="6">
        <f>SUM('Model inputs'!K89,'Model inputs'!K90)</f>
        <v>0</v>
      </c>
      <c r="L88" s="6">
        <f>SUM('Model inputs'!L89,'Model inputs'!L90)</f>
        <v>56.25</v>
      </c>
      <c r="M88" s="6">
        <f>SUM('Model inputs'!M89,'Model inputs'!M90)</f>
        <v>56.25</v>
      </c>
      <c r="N88" s="6">
        <f>SUM('Model inputs'!N89,'Model inputs'!N90)</f>
        <v>56.25</v>
      </c>
      <c r="O88" s="6">
        <f>SUM('Model inputs'!O89,'Model inputs'!O90)</f>
        <v>56.25</v>
      </c>
      <c r="P88" s="6">
        <f>SUM('Model inputs'!P89,'Model inputs'!P90)</f>
        <v>56.25</v>
      </c>
      <c r="Q88" s="6">
        <f>SUM('Model inputs'!Q89,'Model inputs'!Q90)</f>
        <v>56.25</v>
      </c>
      <c r="R88" s="6">
        <f>SUM('Model inputs'!R89,'Model inputs'!R90)</f>
        <v>56.25</v>
      </c>
      <c r="S88" s="6">
        <f>SUM('Model inputs'!S89,'Model inputs'!S90)</f>
        <v>56.25</v>
      </c>
      <c r="T88" s="6">
        <f>SUM('Model inputs'!T89,'Model inputs'!T90)</f>
        <v>56.25</v>
      </c>
      <c r="U88" s="6">
        <f>SUM('Model inputs'!U89,'Model inputs'!U90)</f>
        <v>56.25</v>
      </c>
      <c r="V88" s="6">
        <f>SUM('Model inputs'!V89,'Model inputs'!V90)</f>
        <v>56.25</v>
      </c>
      <c r="W88" s="6">
        <f>SUM('Model inputs'!W89,'Model inputs'!W90)</f>
        <v>56.25</v>
      </c>
      <c r="X88" s="6">
        <f>SUM('Model inputs'!X89,'Model inputs'!X90)</f>
        <v>56.25</v>
      </c>
      <c r="Y88" s="6">
        <f>SUM('Model inputs'!Y89,'Model inputs'!Y90)</f>
        <v>56.25</v>
      </c>
      <c r="Z88" s="6">
        <f>SUM('Model inputs'!Z89,'Model inputs'!Z90)</f>
        <v>56.25</v>
      </c>
      <c r="AA88" s="6">
        <f>SUM('Model inputs'!AA89,'Model inputs'!AA90)</f>
        <v>56.25</v>
      </c>
      <c r="AB88" s="6">
        <f>SUM('Model inputs'!AB89,'Model inputs'!AB90)</f>
        <v>56.25</v>
      </c>
      <c r="AC88" s="6">
        <f>SUM('Model inputs'!AC89,'Model inputs'!AC90)</f>
        <v>56.25</v>
      </c>
      <c r="AD88" s="6">
        <f>SUM('Model inputs'!AD89,'Model inputs'!AD90)</f>
        <v>56.25</v>
      </c>
      <c r="AE88" s="6">
        <f>SUM('Model inputs'!AE89,'Model inputs'!AE90)</f>
        <v>56.25</v>
      </c>
      <c r="AF88" s="6">
        <f>SUM('Model inputs'!AF89,'Model inputs'!AF90)</f>
        <v>56.25</v>
      </c>
      <c r="AG88" s="6">
        <f>SUM('Model inputs'!AG89,'Model inputs'!AG90)</f>
        <v>56.25</v>
      </c>
      <c r="AH88" s="6">
        <f>SUM('Model inputs'!AH89,'Model inputs'!AH90)</f>
        <v>56.25</v>
      </c>
      <c r="AI88" s="6">
        <f>SUM('Model inputs'!AI89,'Model inputs'!AI90)</f>
        <v>56.25</v>
      </c>
    </row>
    <row r="89" outlineLevel="1">
      <c r="A89" t="inlineStr" s="23">
        <is>
          <t xml:space="preserve">Onboarding cost &gt; Growing shop</t>
        </is>
      </c>
      <c r="K89" s="9">
        <f>'SwapDesk — Operations · Merchan'!B51</f>
        <v>0</v>
      </c>
      <c r="L89" s="9">
        <f>'Model inputs'!L74*'Model inputs'!B43/60*'Model inputs'!B62</f>
        <v>18.75</v>
      </c>
      <c r="M89" s="9">
        <f>'Model inputs'!M74*'Model inputs'!B43/60*'Model inputs'!B62</f>
        <v>18.75</v>
      </c>
      <c r="N89" s="9">
        <f>'Model inputs'!N74*'Model inputs'!B43/60*'Model inputs'!B62</f>
        <v>18.75</v>
      </c>
      <c r="O89" s="9">
        <f>'Model inputs'!O74*'Model inputs'!B43/60*'Model inputs'!B62</f>
        <v>18.75</v>
      </c>
      <c r="P89" s="9">
        <f>'Model inputs'!P74*'Model inputs'!B43/60*'Model inputs'!B62</f>
        <v>18.75</v>
      </c>
      <c r="Q89" s="9">
        <f>'Model inputs'!Q74*'Model inputs'!B43/60*'Model inputs'!B62</f>
        <v>18.75</v>
      </c>
      <c r="R89" s="9">
        <f>'Model inputs'!R74*'Model inputs'!B43/60*'Model inputs'!B62</f>
        <v>18.75</v>
      </c>
      <c r="S89" s="9">
        <f>'Model inputs'!S74*'Model inputs'!B43/60*'Model inputs'!B62</f>
        <v>18.75</v>
      </c>
      <c r="T89" s="9">
        <f>'Model inputs'!T74*'Model inputs'!B43/60*'Model inputs'!B62</f>
        <v>18.75</v>
      </c>
      <c r="U89" s="9">
        <f>'Model inputs'!U74*'Model inputs'!B43/60*'Model inputs'!B62</f>
        <v>18.75</v>
      </c>
      <c r="V89" s="9">
        <f>'Model inputs'!V74*'Model inputs'!B43/60*'Model inputs'!B62</f>
        <v>18.75</v>
      </c>
      <c r="W89" s="9">
        <f>'Model inputs'!W74*'Model inputs'!B43/60*'Model inputs'!B62</f>
        <v>18.75</v>
      </c>
      <c r="X89" s="9">
        <f>'Model inputs'!X74*'Model inputs'!B43/60*'Model inputs'!B62</f>
        <v>18.75</v>
      </c>
      <c r="Y89" s="9">
        <f>'Model inputs'!Y74*'Model inputs'!B43/60*'Model inputs'!B62</f>
        <v>18.75</v>
      </c>
      <c r="Z89" s="9">
        <f>'Model inputs'!Z74*'Model inputs'!B43/60*'Model inputs'!B62</f>
        <v>18.75</v>
      </c>
      <c r="AA89" s="9">
        <f>'Model inputs'!AA74*'Model inputs'!B43/60*'Model inputs'!B62</f>
        <v>18.75</v>
      </c>
      <c r="AB89" s="9">
        <f>'Model inputs'!AB74*'Model inputs'!B43/60*'Model inputs'!B62</f>
        <v>18.75</v>
      </c>
      <c r="AC89" s="9">
        <f>'Model inputs'!AC74*'Model inputs'!B43/60*'Model inputs'!B62</f>
        <v>18.75</v>
      </c>
      <c r="AD89" s="9">
        <f>'Model inputs'!AD74*'Model inputs'!B43/60*'Model inputs'!B62</f>
        <v>18.75</v>
      </c>
      <c r="AE89" s="9">
        <f>'Model inputs'!AE74*'Model inputs'!B43/60*'Model inputs'!B62</f>
        <v>18.75</v>
      </c>
      <c r="AF89" s="9">
        <f>'Model inputs'!AF74*'Model inputs'!B43/60*'Model inputs'!B62</f>
        <v>18.75</v>
      </c>
      <c r="AG89" s="9">
        <f>'Model inputs'!AG74*'Model inputs'!B43/60*'Model inputs'!B62</f>
        <v>18.75</v>
      </c>
      <c r="AH89" s="9">
        <f>'Model inputs'!AH74*'Model inputs'!B43/60*'Model inputs'!B62</f>
        <v>18.75</v>
      </c>
      <c r="AI89" s="9">
        <f>'Model inputs'!AI74*'Model inputs'!B43/60*'Model inputs'!B62</f>
        <v>18.75</v>
      </c>
    </row>
    <row r="90" outlineLevel="1">
      <c r="A90" t="inlineStr" s="23">
        <is>
          <t xml:space="preserve">Onboarding cost &gt; Small shop</t>
        </is>
      </c>
      <c r="K90" s="9">
        <f>'SwapDesk — Operations · Merchan'!B52</f>
        <v>0</v>
      </c>
      <c r="L90" s="9">
        <f>'Model inputs'!L75*'Model inputs'!B43/60*'Model inputs'!B62</f>
        <v>37.5</v>
      </c>
      <c r="M90" s="9">
        <f>'Model inputs'!M75*'Model inputs'!B43/60*'Model inputs'!B62</f>
        <v>37.5</v>
      </c>
      <c r="N90" s="9">
        <f>'Model inputs'!N75*'Model inputs'!B43/60*'Model inputs'!B62</f>
        <v>37.5</v>
      </c>
      <c r="O90" s="9">
        <f>'Model inputs'!O75*'Model inputs'!B43/60*'Model inputs'!B62</f>
        <v>37.5</v>
      </c>
      <c r="P90" s="9">
        <f>'Model inputs'!P75*'Model inputs'!B43/60*'Model inputs'!B62</f>
        <v>37.5</v>
      </c>
      <c r="Q90" s="9">
        <f>'Model inputs'!Q75*'Model inputs'!B43/60*'Model inputs'!B62</f>
        <v>37.5</v>
      </c>
      <c r="R90" s="9">
        <f>'Model inputs'!R75*'Model inputs'!B43/60*'Model inputs'!B62</f>
        <v>37.5</v>
      </c>
      <c r="S90" s="9">
        <f>'Model inputs'!S75*'Model inputs'!B43/60*'Model inputs'!B62</f>
        <v>37.5</v>
      </c>
      <c r="T90" s="9">
        <f>'Model inputs'!T75*'Model inputs'!B43/60*'Model inputs'!B62</f>
        <v>37.5</v>
      </c>
      <c r="U90" s="9">
        <f>'Model inputs'!U75*'Model inputs'!B43/60*'Model inputs'!B62</f>
        <v>37.5</v>
      </c>
      <c r="V90" s="9">
        <f>'Model inputs'!V75*'Model inputs'!B43/60*'Model inputs'!B62</f>
        <v>37.5</v>
      </c>
      <c r="W90" s="9">
        <f>'Model inputs'!W75*'Model inputs'!B43/60*'Model inputs'!B62</f>
        <v>37.5</v>
      </c>
      <c r="X90" s="9">
        <f>'Model inputs'!X75*'Model inputs'!B43/60*'Model inputs'!B62</f>
        <v>37.5</v>
      </c>
      <c r="Y90" s="9">
        <f>'Model inputs'!Y75*'Model inputs'!B43/60*'Model inputs'!B62</f>
        <v>37.5</v>
      </c>
      <c r="Z90" s="9">
        <f>'Model inputs'!Z75*'Model inputs'!B43/60*'Model inputs'!B62</f>
        <v>37.5</v>
      </c>
      <c r="AA90" s="9">
        <f>'Model inputs'!AA75*'Model inputs'!B43/60*'Model inputs'!B62</f>
        <v>37.5</v>
      </c>
      <c r="AB90" s="9">
        <f>'Model inputs'!AB75*'Model inputs'!B43/60*'Model inputs'!B62</f>
        <v>37.5</v>
      </c>
      <c r="AC90" s="9">
        <f>'Model inputs'!AC75*'Model inputs'!B43/60*'Model inputs'!B62</f>
        <v>37.5</v>
      </c>
      <c r="AD90" s="9">
        <f>'Model inputs'!AD75*'Model inputs'!B43/60*'Model inputs'!B62</f>
        <v>37.5</v>
      </c>
      <c r="AE90" s="9">
        <f>'Model inputs'!AE75*'Model inputs'!B43/60*'Model inputs'!B62</f>
        <v>37.5</v>
      </c>
      <c r="AF90" s="9">
        <f>'Model inputs'!AF75*'Model inputs'!B43/60*'Model inputs'!B62</f>
        <v>37.5</v>
      </c>
      <c r="AG90" s="9">
        <f>'Model inputs'!AG75*'Model inputs'!B43/60*'Model inputs'!B62</f>
        <v>37.5</v>
      </c>
      <c r="AH90" s="9">
        <f>'Model inputs'!AH75*'Model inputs'!B43/60*'Model inputs'!B62</f>
        <v>37.5</v>
      </c>
      <c r="AI90" s="9">
        <f>'Model inputs'!AI75*'Model inputs'!B43/60*'Model inputs'!B62</f>
        <v>37.5</v>
      </c>
    </row>
    <row r="91">
      <c r="A91" t="inlineStr" s="22">
        <is>
          <t xml:space="preserve">Subscription revenue</t>
        </is>
      </c>
      <c r="K91" s="10">
        <f>SUM('Model inputs'!K92,'Model inputs'!K93)</f>
        <v>0</v>
      </c>
      <c r="L91" s="10">
        <f>SUM('Model inputs'!L92,'Model inputs'!L93)</f>
        <v>407.18999999999994</v>
      </c>
      <c r="M91" s="10">
        <f>SUM('Model inputs'!M92,'Model inputs'!M93)</f>
        <v>469.6797</v>
      </c>
      <c r="N91" s="10">
        <f>SUM('Model inputs'!N92,'Model inputs'!N93)</f>
        <v>530.5156010000001</v>
      </c>
      <c r="O91" s="10">
        <f>SUM('Model inputs'!O92,'Model inputs'!O93)</f>
        <v>589.74289913</v>
      </c>
      <c r="P91" s="10">
        <f>SUM('Model inputs'!P92,'Model inputs'!P93)</f>
        <v>647.4055229928999</v>
      </c>
      <c r="Q91" s="10">
        <f>SUM('Model inputs'!Q92,'Model inputs'!Q93)</f>
        <v>703.5461699231769</v>
      </c>
      <c r="R91" s="10">
        <f>SUM('Model inputs'!R92,'Model inputs'!R93)</f>
        <v>758.2063411931443</v>
      </c>
      <c r="S91" s="10">
        <f>SUM('Model inputs'!S92,'Model inputs'!S93)</f>
        <v>811.4263761976595</v>
      </c>
      <c r="T91" s="10">
        <f>SUM('Model inputs'!T92,'Model inputs'!T93)</f>
        <v>863.245485647233</v>
      </c>
      <c r="U91" s="10">
        <f>SUM('Model inputs'!U92,'Model inputs'!U93)</f>
        <v>913.7017837986093</v>
      </c>
      <c r="V91" s="10">
        <f>SUM('Model inputs'!V92,'Model inputs'!V93)</f>
        <v>962.8323197510284</v>
      </c>
      <c r="W91" s="10">
        <f>SUM('Model inputs'!W92,'Model inputs'!W93)</f>
        <v>1010.6731078355474</v>
      </c>
      <c r="X91" s="10">
        <f>SUM('Model inputs'!X92,'Model inputs'!X93)</f>
        <v>1057.2591571239898</v>
      </c>
      <c r="Y91" s="10">
        <f>SUM('Model inputs'!Y92,'Model inputs'!Y93)</f>
        <v>1102.6245000833087</v>
      </c>
      <c r="Z91" s="10">
        <f>SUM('Model inputs'!Z92,'Model inputs'!Z93)</f>
        <v>1146.8022204003873</v>
      </c>
      <c r="AA91" s="10">
        <f>SUM('Model inputs'!AA92,'Model inputs'!AA93)</f>
        <v>1189.8244800015618</v>
      </c>
      <c r="AB91" s="10">
        <f>SUM('Model inputs'!AB92,'Model inputs'!AB93)</f>
        <v>1231.7225452904377</v>
      </c>
      <c r="AC91" s="10">
        <f>SUM('Model inputs'!AC92,'Model inputs'!AC93)</f>
        <v>1272.5268126268688</v>
      </c>
      <c r="AD91" s="10">
        <f>SUM('Model inputs'!AD92,'Model inputs'!AD93)</f>
        <v>1312.2668330693039</v>
      </c>
      <c r="AE91" s="10">
        <f>SUM('Model inputs'!AE92,'Model inputs'!AE93)</f>
        <v>1350.9713364020413</v>
      </c>
      <c r="AF91" s="10">
        <f>SUM('Model inputs'!AF92,'Model inputs'!AF93)</f>
        <v>1388.6682544683</v>
      </c>
      <c r="AG91" s="10">
        <f>SUM('Model inputs'!AG92,'Model inputs'!AG93)</f>
        <v>1425.3847438294047</v>
      </c>
      <c r="AH91" s="10">
        <f>SUM('Model inputs'!AH92,'Model inputs'!AH93)</f>
        <v>1461.1472077697733</v>
      </c>
      <c r="AI91" s="10">
        <f>SUM('Model inputs'!AI92,'Model inputs'!AI93)</f>
        <v>1495.9813176668258</v>
      </c>
    </row>
    <row r="92" outlineLevel="1">
      <c r="A92" t="inlineStr" s="23">
        <is>
          <t xml:space="preserve">Subscription revenue &gt; Growing shop</t>
        </is>
      </c>
      <c r="K92" s="8">
        <f>'SwapDesk — Operations · Merchan'!B33</f>
        <v>0</v>
      </c>
      <c r="L92" s="8">
        <f>'Model inputs'!L18*'Model inputs'!B58</f>
        <v>120.53999999999999</v>
      </c>
      <c r="M92" s="8">
        <f>'Model inputs'!M18*'Model inputs'!B58</f>
        <v>142.6292</v>
      </c>
      <c r="N92" s="8">
        <f>'Model inputs'!N18*'Model inputs'!B58</f>
        <v>164.27661600000002</v>
      </c>
      <c r="O92" s="8">
        <f>'Model inputs'!O18*'Model inputs'!B58</f>
        <v>185.49108368</v>
      </c>
      <c r="P92" s="8">
        <f>'Model inputs'!P18*'Model inputs'!B58</f>
        <v>206.28126200639997</v>
      </c>
      <c r="Q92" s="8">
        <f>'Model inputs'!Q18*'Model inputs'!B58</f>
        <v>226.65563676627198</v>
      </c>
      <c r="R92" s="8">
        <f>'Model inputs'!R18*'Model inputs'!B58</f>
        <v>246.62252403094655</v>
      </c>
      <c r="S92" s="8">
        <f>'Model inputs'!S18*'Model inputs'!B58</f>
        <v>266.1900735503276</v>
      </c>
      <c r="T92" s="8">
        <f>'Model inputs'!T18*'Model inputs'!B58</f>
        <v>285.36627207932105</v>
      </c>
      <c r="U92" s="8">
        <f>'Model inputs'!U18*'Model inputs'!B58</f>
        <v>304.1589466377347</v>
      </c>
      <c r="V92" s="8">
        <f>'Model inputs'!V18*'Model inputs'!B58</f>
        <v>322.57576770497997</v>
      </c>
      <c r="W92" s="8">
        <f>'Model inputs'!W18*'Model inputs'!B58</f>
        <v>340.62425235088034</v>
      </c>
      <c r="X92" s="8">
        <f>'Model inputs'!X18*'Model inputs'!B58</f>
        <v>358.3117673038628</v>
      </c>
      <c r="Y92" s="8">
        <f>'Model inputs'!Y18*'Model inputs'!B58</f>
        <v>375.6455319577855</v>
      </c>
      <c r="Z92" s="8">
        <f>'Model inputs'!Z18*'Model inputs'!B58</f>
        <v>392.6326213186298</v>
      </c>
      <c r="AA92" s="8">
        <f>'Model inputs'!AA18*'Model inputs'!B58</f>
        <v>409.27996889225716</v>
      </c>
      <c r="AB92" s="8">
        <f>'Model inputs'!AB18*'Model inputs'!B58</f>
        <v>425.59436951441205</v>
      </c>
      <c r="AC92" s="8">
        <f>'Model inputs'!AC18*'Model inputs'!B58</f>
        <v>441.58248212412377</v>
      </c>
      <c r="AD92" s="8">
        <f>'Model inputs'!AD18*'Model inputs'!B58</f>
        <v>457.25083248164134</v>
      </c>
      <c r="AE92" s="8">
        <f>'Model inputs'!AE18*'Model inputs'!B58</f>
        <v>472.60581583200855</v>
      </c>
      <c r="AF92" s="8">
        <f>'Model inputs'!AF18*'Model inputs'!B58</f>
        <v>487.6536995153683</v>
      </c>
      <c r="AG92" s="8">
        <f>'Model inputs'!AG18*'Model inputs'!B58</f>
        <v>502.400625525061</v>
      </c>
      <c r="AH92" s="8">
        <f>'Model inputs'!AH18*'Model inputs'!B58</f>
        <v>516.8526130145598</v>
      </c>
      <c r="AI92" s="8">
        <f>'Model inputs'!AI18*'Model inputs'!B58</f>
        <v>531.0155607542686</v>
      </c>
    </row>
    <row r="93" outlineLevel="1">
      <c r="A93" t="inlineStr" s="23">
        <is>
          <t xml:space="preserve">Subscription revenue &gt; Small shop</t>
        </is>
      </c>
      <c r="K93" s="8">
        <f>'SwapDesk — Operations · Merchan'!B34</f>
        <v>0</v>
      </c>
      <c r="L93" s="8">
        <f>'Model inputs'!L19*'Model inputs'!B58</f>
        <v>286.65</v>
      </c>
      <c r="M93" s="8">
        <f>'Model inputs'!M19*'Model inputs'!B58</f>
        <v>327.0505</v>
      </c>
      <c r="N93" s="8">
        <f>'Model inputs'!N19*'Model inputs'!B58</f>
        <v>366.238985</v>
      </c>
      <c r="O93" s="8">
        <f>'Model inputs'!O19*'Model inputs'!B58</f>
        <v>404.25181545</v>
      </c>
      <c r="P93" s="8">
        <f>'Model inputs'!P19*'Model inputs'!B58</f>
        <v>441.12426098649996</v>
      </c>
      <c r="Q93" s="8">
        <f>'Model inputs'!Q19*'Model inputs'!B58</f>
        <v>476.89053315690495</v>
      </c>
      <c r="R93" s="8">
        <f>'Model inputs'!R19*'Model inputs'!B58</f>
        <v>511.5838171621978</v>
      </c>
      <c r="S93" s="8">
        <f>'Model inputs'!S19*'Model inputs'!B58</f>
        <v>545.2363026473319</v>
      </c>
      <c r="T93" s="8">
        <f>'Model inputs'!T19*'Model inputs'!B58</f>
        <v>577.879213567912</v>
      </c>
      <c r="U93" s="8">
        <f>'Model inputs'!U19*'Model inputs'!B58</f>
        <v>609.5428371608747</v>
      </c>
      <c r="V93" s="8">
        <f>'Model inputs'!V19*'Model inputs'!B58</f>
        <v>640.2565520460485</v>
      </c>
      <c r="W93" s="8">
        <f>'Model inputs'!W19*'Model inputs'!B58</f>
        <v>670.048855484667</v>
      </c>
      <c r="X93" s="8">
        <f>'Model inputs'!X19*'Model inputs'!B58</f>
        <v>698.947389820127</v>
      </c>
      <c r="Y93" s="8">
        <f>'Model inputs'!Y19*'Model inputs'!B58</f>
        <v>726.9789681255232</v>
      </c>
      <c r="Z93" s="8">
        <f>'Model inputs'!Z19*'Model inputs'!B58</f>
        <v>754.1695990817575</v>
      </c>
      <c r="AA93" s="8">
        <f>'Model inputs'!AA19*'Model inputs'!B58</f>
        <v>780.5445111093047</v>
      </c>
      <c r="AB93" s="8">
        <f>'Model inputs'!AB19*'Model inputs'!B58</f>
        <v>806.1281757760256</v>
      </c>
      <c r="AC93" s="8">
        <f>'Model inputs'!AC19*'Model inputs'!B58</f>
        <v>830.944330502745</v>
      </c>
      <c r="AD93" s="8">
        <f>'Model inputs'!AD19*'Model inputs'!B58</f>
        <v>855.0160005876626</v>
      </c>
      <c r="AE93" s="8">
        <f>'Model inputs'!AE19*'Model inputs'!B58</f>
        <v>878.3655205700327</v>
      </c>
      <c r="AF93" s="8">
        <f>'Model inputs'!AF19*'Model inputs'!B58</f>
        <v>901.0145549529317</v>
      </c>
      <c r="AG93" s="8">
        <f>'Model inputs'!AG19*'Model inputs'!B58</f>
        <v>922.9841183043437</v>
      </c>
      <c r="AH93" s="8">
        <f>'Model inputs'!AH19*'Model inputs'!B58</f>
        <v>944.2945947552136</v>
      </c>
      <c r="AI93" s="8">
        <f>'Model inputs'!AI19*'Model inputs'!B58</f>
        <v>964.9657569125571</v>
      </c>
    </row>
    <row r="94">
      <c r="A94" t="inlineStr" s="22">
        <is>
          <t xml:space="preserve">Infrastructure variable cost</t>
        </is>
      </c>
      <c r="K94" s="6">
        <f>SUM('Model inputs'!K95,'Model inputs'!K96)</f>
        <v>0</v>
      </c>
      <c r="L94" s="6">
        <f>SUM('Model inputs'!L95,'Model inputs'!L96)</f>
        <v>8.309999999999999</v>
      </c>
      <c r="M94" s="6">
        <f>SUM('Model inputs'!M95,'Model inputs'!M96)</f>
        <v>9.5853</v>
      </c>
      <c r="N94" s="6">
        <f>SUM('Model inputs'!N95,'Model inputs'!N96)</f>
        <v>10.826849</v>
      </c>
      <c r="O94" s="6">
        <f>SUM('Model inputs'!O95,'Model inputs'!O96)</f>
        <v>12.03556937</v>
      </c>
      <c r="P94" s="6">
        <f>SUM('Model inputs'!P95,'Model inputs'!P96)</f>
        <v>13.2123576121</v>
      </c>
      <c r="Q94" s="6">
        <f>SUM('Model inputs'!Q95,'Model inputs'!Q96)</f>
        <v>14.358085100472998</v>
      </c>
      <c r="R94" s="6">
        <f>SUM('Model inputs'!R95,'Model inputs'!R96)</f>
        <v>15.473598799860088</v>
      </c>
      <c r="S94" s="6">
        <f>SUM('Model inputs'!S95,'Model inputs'!S96)</f>
        <v>16.55972196321754</v>
      </c>
      <c r="T94" s="6">
        <f>SUM('Model inputs'!T95,'Model inputs'!T96)</f>
        <v>17.617254809127203</v>
      </c>
      <c r="U94" s="6">
        <f>SUM('Model inputs'!U95,'Model inputs'!U96)</f>
        <v>18.646975179563455</v>
      </c>
      <c r="V94" s="6">
        <f>SUM('Model inputs'!V95,'Model inputs'!V96)</f>
        <v>19.649639178592416</v>
      </c>
      <c r="W94" s="6">
        <f>SUM('Model inputs'!W95,'Model inputs'!W96)</f>
        <v>20.62598179256219</v>
      </c>
      <c r="X94" s="6">
        <f>SUM('Model inputs'!X95,'Model inputs'!X96)</f>
        <v>21.57671749232632</v>
      </c>
      <c r="Y94" s="6">
        <f>SUM('Model inputs'!Y95,'Model inputs'!Y96)</f>
        <v>22.50254081802671</v>
      </c>
      <c r="Z94" s="6">
        <f>SUM('Model inputs'!Z95,'Model inputs'!Z96)</f>
        <v>23.40412694694668</v>
      </c>
      <c r="AA94" s="6">
        <f>SUM('Model inputs'!AA95,'Model inputs'!AA96)</f>
        <v>24.282132244929834</v>
      </c>
      <c r="AB94" s="6">
        <f>SUM('Model inputs'!AB95,'Model inputs'!AB96)</f>
        <v>25.137194801845666</v>
      </c>
      <c r="AC94" s="6">
        <f>SUM('Model inputs'!AC95,'Model inputs'!AC96)</f>
        <v>25.96993495156875</v>
      </c>
      <c r="AD94" s="6">
        <f>SUM('Model inputs'!AD95,'Model inputs'!AD96)</f>
        <v>26.78095577692457</v>
      </c>
      <c r="AE94" s="6">
        <f>SUM('Model inputs'!AE95,'Model inputs'!AE96)</f>
        <v>27.570843600041655</v>
      </c>
      <c r="AF94" s="6">
        <f>SUM('Model inputs'!AF95,'Model inputs'!AF96)</f>
        <v>28.340168458536738</v>
      </c>
      <c r="AG94" s="6">
        <f>SUM('Model inputs'!AG95,'Model inputs'!AG96)</f>
        <v>29.089484567947036</v>
      </c>
      <c r="AH94" s="6">
        <f>SUM('Model inputs'!AH95,'Model inputs'!AH96)</f>
        <v>29.8193307708117</v>
      </c>
      <c r="AI94" s="6">
        <f>SUM('Model inputs'!AI95,'Model inputs'!AI96)</f>
        <v>30.53023097279236</v>
      </c>
    </row>
    <row r="95" outlineLevel="1">
      <c r="A95" t="inlineStr" s="23">
        <is>
          <t xml:space="preserve">Infrastructure variable cost &gt; Growing shop</t>
        </is>
      </c>
      <c r="K95" s="9">
        <f>'SwapDesk — Operations · Merchan'!B45</f>
        <v>0</v>
      </c>
      <c r="L95" s="9">
        <f>'Model inputs'!L18*'Model inputs'!B35</f>
        <v>2.46</v>
      </c>
      <c r="M95" s="9">
        <f>'Model inputs'!M18*'Model inputs'!B35</f>
        <v>2.9108</v>
      </c>
      <c r="N95" s="9">
        <f>'Model inputs'!N18*'Model inputs'!B35</f>
        <v>3.3525840000000002</v>
      </c>
      <c r="O95" s="9">
        <f>'Model inputs'!O18*'Model inputs'!B35</f>
        <v>3.78553232</v>
      </c>
      <c r="P95" s="9">
        <f>'Model inputs'!P18*'Model inputs'!B35</f>
        <v>4.2098216736</v>
      </c>
      <c r="Q95" s="9">
        <f>'Model inputs'!Q18*'Model inputs'!B35</f>
        <v>4.625625240128</v>
      </c>
      <c r="R95" s="9">
        <f>'Model inputs'!R18*'Model inputs'!B35</f>
        <v>5.03311273532544</v>
      </c>
      <c r="S95" s="9">
        <f>'Model inputs'!S18*'Model inputs'!B35</f>
        <v>5.432450480618931</v>
      </c>
      <c r="T95" s="9">
        <f>'Model inputs'!T18*'Model inputs'!B35</f>
        <v>5.823801471006552</v>
      </c>
      <c r="U95" s="9">
        <f>'Model inputs'!U18*'Model inputs'!B35</f>
        <v>6.207325441586422</v>
      </c>
      <c r="V95" s="9">
        <f>'Model inputs'!V18*'Model inputs'!B35</f>
        <v>6.583178932754693</v>
      </c>
      <c r="W95" s="9">
        <f>'Model inputs'!W18*'Model inputs'!B35</f>
        <v>6.951515354099599</v>
      </c>
      <c r="X95" s="9">
        <f>'Model inputs'!X18*'Model inputs'!B35</f>
        <v>7.312485047017607</v>
      </c>
      <c r="Y95" s="9">
        <f>'Model inputs'!Y18*'Model inputs'!B35</f>
        <v>7.666235346077255</v>
      </c>
      <c r="Z95" s="9">
        <f>'Model inputs'!Z18*'Model inputs'!B35</f>
        <v>8.01291063915571</v>
      </c>
      <c r="AA95" s="9">
        <f>'Model inputs'!AA18*'Model inputs'!B35</f>
        <v>8.352652426372595</v>
      </c>
      <c r="AB95" s="9">
        <f>'Model inputs'!AB18*'Model inputs'!B35</f>
        <v>8.685599377845143</v>
      </c>
      <c r="AC95" s="9">
        <f>'Model inputs'!AC18*'Model inputs'!B35</f>
        <v>9.01188739028824</v>
      </c>
      <c r="AD95" s="9">
        <f>'Model inputs'!AD18*'Model inputs'!B35</f>
        <v>9.331649642482477</v>
      </c>
      <c r="AE95" s="9">
        <f>'Model inputs'!AE18*'Model inputs'!B35</f>
        <v>9.645016649632828</v>
      </c>
      <c r="AF95" s="9">
        <f>'Model inputs'!AF18*'Model inputs'!B35</f>
        <v>9.95211631664017</v>
      </c>
      <c r="AG95" s="9">
        <f>'Model inputs'!AG18*'Model inputs'!B35</f>
        <v>10.253073990307367</v>
      </c>
      <c r="AH95" s="9">
        <f>'Model inputs'!AH18*'Model inputs'!B35</f>
        <v>10.54801251050122</v>
      </c>
      <c r="AI95" s="9">
        <f>'Model inputs'!AI18*'Model inputs'!B35</f>
        <v>10.837052260291195</v>
      </c>
    </row>
    <row r="96" outlineLevel="1">
      <c r="A96" t="inlineStr" s="23">
        <is>
          <t xml:space="preserve">Infrastructure variable cost &gt; Small shop</t>
        </is>
      </c>
      <c r="K96" s="9">
        <f>'SwapDesk — Operations · Merchan'!B46</f>
        <v>0</v>
      </c>
      <c r="L96" s="9">
        <f>'Model inputs'!L19*'Model inputs'!B35</f>
        <v>5.85</v>
      </c>
      <c r="M96" s="9">
        <f>'Model inputs'!M19*'Model inputs'!B35</f>
        <v>6.6745</v>
      </c>
      <c r="N96" s="9">
        <f>'Model inputs'!N19*'Model inputs'!B35</f>
        <v>7.474265</v>
      </c>
      <c r="O96" s="9">
        <f>'Model inputs'!O19*'Model inputs'!B35</f>
        <v>8.25003705</v>
      </c>
      <c r="P96" s="9">
        <f>'Model inputs'!P19*'Model inputs'!B35</f>
        <v>9.0025359385</v>
      </c>
      <c r="Q96" s="9">
        <f>'Model inputs'!Q19*'Model inputs'!B35</f>
        <v>9.732459860345</v>
      </c>
      <c r="R96" s="9">
        <f>'Model inputs'!R19*'Model inputs'!B35</f>
        <v>10.44048606453465</v>
      </c>
      <c r="S96" s="9">
        <f>'Model inputs'!S19*'Model inputs'!B35</f>
        <v>11.12727148259861</v>
      </c>
      <c r="T96" s="9">
        <f>'Model inputs'!T19*'Model inputs'!B35</f>
        <v>11.793453338120653</v>
      </c>
      <c r="U96" s="9">
        <f>'Model inputs'!U19*'Model inputs'!B35</f>
        <v>12.439649737977033</v>
      </c>
      <c r="V96" s="9">
        <f>'Model inputs'!V19*'Model inputs'!B35</f>
        <v>13.066460245837723</v>
      </c>
      <c r="W96" s="9">
        <f>'Model inputs'!W19*'Model inputs'!B35</f>
        <v>13.674466438462591</v>
      </c>
      <c r="X96" s="9">
        <f>'Model inputs'!X19*'Model inputs'!B35</f>
        <v>14.264232445308714</v>
      </c>
      <c r="Y96" s="9">
        <f>'Model inputs'!Y19*'Model inputs'!B35</f>
        <v>14.836305471949453</v>
      </c>
      <c r="Z96" s="9">
        <f>'Model inputs'!Z19*'Model inputs'!B35</f>
        <v>15.39121630779097</v>
      </c>
      <c r="AA96" s="9">
        <f>'Model inputs'!AA19*'Model inputs'!B35</f>
        <v>15.92947981855724</v>
      </c>
      <c r="AB96" s="9">
        <f>'Model inputs'!AB19*'Model inputs'!B35</f>
        <v>16.451595424000523</v>
      </c>
      <c r="AC96" s="9">
        <f>'Model inputs'!AC19*'Model inputs'!B35</f>
        <v>16.95804756128051</v>
      </c>
      <c r="AD96" s="9">
        <f>'Model inputs'!AD19*'Model inputs'!B35</f>
        <v>17.449306134442093</v>
      </c>
      <c r="AE96" s="9">
        <f>'Model inputs'!AE19*'Model inputs'!B35</f>
        <v>17.92582695040883</v>
      </c>
      <c r="AF96" s="9">
        <f>'Model inputs'!AF19*'Model inputs'!B35</f>
        <v>18.388052141896566</v>
      </c>
      <c r="AG96" s="9">
        <f>'Model inputs'!AG19*'Model inputs'!B35</f>
        <v>18.83641057763967</v>
      </c>
      <c r="AH96" s="9">
        <f>'Model inputs'!AH19*'Model inputs'!B35</f>
        <v>19.27131826031048</v>
      </c>
      <c r="AI96" s="9">
        <f>'Model inputs'!AI19*'Model inputs'!B35</f>
        <v>19.693178712501165</v>
      </c>
    </row>
    <row r="97">
      <c r="A97" t="inlineStr" s="22">
        <is>
          <t xml:space="preserve">Extra executions</t>
        </is>
      </c>
      <c r="K97" s="10">
        <f>SUM('Model inputs'!K98,'Model inputs'!K99)</f>
        <v>0</v>
      </c>
      <c r="L97" s="10">
        <f>SUM('Model inputs'!L98,'Model inputs'!L99)</f>
        <v>252.89999999999998</v>
      </c>
      <c r="M97" s="10">
        <f>SUM('Model inputs'!M98,'Model inputs'!M99)</f>
        <v>294.789</v>
      </c>
      <c r="N97" s="10">
        <f>SUM('Model inputs'!N98,'Model inputs'!N99)</f>
        <v>335.69181000000003</v>
      </c>
      <c r="O97" s="10">
        <f>SUM('Model inputs'!O98,'Model inputs'!O99)</f>
        <v>375.6326061</v>
      </c>
      <c r="P97" s="10">
        <f>SUM('Model inputs'!P98,'Model inputs'!P99)</f>
        <v>414.6349473089999</v>
      </c>
      <c r="Q97" s="10">
        <f>SUM('Model inputs'!Q98,'Model inputs'!Q99)</f>
        <v>452.72179189389</v>
      </c>
      <c r="R97" s="10">
        <f>SUM('Model inputs'!R98,'Model inputs'!R99)</f>
        <v>489.9155132811501</v>
      </c>
      <c r="S97" s="10">
        <f>SUM('Model inputs'!S98,'Model inputs'!S99)</f>
        <v>526.2379155239107</v>
      </c>
      <c r="T97" s="10">
        <f>SUM('Model inputs'!T98,'Model inputs'!T99)</f>
        <v>561.7102483465649</v>
      </c>
      <c r="U97" s="10">
        <f>SUM('Model inputs'!U98,'Model inputs'!U99)</f>
        <v>596.353221778772</v>
      </c>
      <c r="V97" s="10">
        <f>SUM('Model inputs'!V98,'Model inputs'!V99)</f>
        <v>630.1870203903607</v>
      </c>
      <c r="W97" s="10">
        <f>SUM('Model inputs'!W98,'Model inputs'!W99)</f>
        <v>663.2313171383025</v>
      </c>
      <c r="X97" s="10">
        <f>SUM('Model inputs'!X98,'Model inputs'!X99)</f>
        <v>695.5052868366132</v>
      </c>
      <c r="Y97" s="10">
        <f>SUM('Model inputs'!Y98,'Model inputs'!Y99)</f>
        <v>727.0276192597255</v>
      </c>
      <c r="Z97" s="10">
        <f>SUM('Model inputs'!Z98,'Model inputs'!Z99)</f>
        <v>757.81653188958</v>
      </c>
      <c r="AA97" s="10">
        <f>SUM('Model inputs'!AA98,'Model inputs'!AA99)</f>
        <v>787.889782316386</v>
      </c>
      <c r="AB97" s="10">
        <f>SUM('Model inputs'!AB98,'Model inputs'!AB99)</f>
        <v>817.2646803027179</v>
      </c>
      <c r="AC97" s="10">
        <f>SUM('Model inputs'!AC98,'Model inputs'!AC99)</f>
        <v>845.9580995203435</v>
      </c>
      <c r="AD97" s="10">
        <f>SUM('Model inputs'!AD98,'Model inputs'!AD99)</f>
        <v>873.9864889689062</v>
      </c>
      <c r="AE97" s="10">
        <f>SUM('Model inputs'!AE98,'Model inputs'!AE99)</f>
        <v>901.3658840853286</v>
      </c>
      <c r="AF97" s="10">
        <f>SUM('Model inputs'!AF98,'Model inputs'!AF99)</f>
        <v>928.1119175525484</v>
      </c>
      <c r="AG97" s="10">
        <f>SUM('Model inputs'!AG98,'Model inputs'!AG99)</f>
        <v>954.239829815956</v>
      </c>
      <c r="AH97" s="10">
        <f>SUM('Model inputs'!AH98,'Model inputs'!AH99)</f>
        <v>979.7644793156617</v>
      </c>
      <c r="AI97" s="10">
        <f>SUM('Model inputs'!AI98,'Model inputs'!AI99)</f>
        <v>1004.7003524424927</v>
      </c>
    </row>
    <row r="98" outlineLevel="1">
      <c r="A98" t="inlineStr" s="23">
        <is>
          <t xml:space="preserve">Extra executions &gt; Growing shop</t>
        </is>
      </c>
      <c r="K98" s="8">
        <f>'SwapDesk — Operations · Merchan'!B27</f>
        <v>0</v>
      </c>
      <c r="L98" s="8">
        <f>'Model inputs'!L107*'Model inputs'!AJ21</f>
        <v>147.6</v>
      </c>
      <c r="M98" s="8">
        <f>'Model inputs'!M107*'Model inputs'!AJ21</f>
        <v>174.648</v>
      </c>
      <c r="N98" s="8">
        <f>'Model inputs'!N107*'Model inputs'!AJ21</f>
        <v>201.15504</v>
      </c>
      <c r="O98" s="8">
        <f>'Model inputs'!O107*'Model inputs'!AJ21</f>
        <v>227.1319392</v>
      </c>
      <c r="P98" s="8">
        <f>'Model inputs'!P107*'Model inputs'!AJ21</f>
        <v>252.58930041599996</v>
      </c>
      <c r="Q98" s="8">
        <f>'Model inputs'!Q107*'Model inputs'!AJ21</f>
        <v>277.53751440767996</v>
      </c>
      <c r="R98" s="8">
        <f>'Model inputs'!R107*'Model inputs'!AJ21</f>
        <v>301.98676411952636</v>
      </c>
      <c r="S98" s="8">
        <f>'Model inputs'!S107*'Model inputs'!AJ21</f>
        <v>325.9470288371358</v>
      </c>
      <c r="T98" s="8">
        <f>'Model inputs'!T107*'Model inputs'!AJ21</f>
        <v>349.4280882603931</v>
      </c>
      <c r="U98" s="8">
        <f>'Model inputs'!U107*'Model inputs'!AJ21</f>
        <v>372.4395264951853</v>
      </c>
      <c r="V98" s="8">
        <f>'Model inputs'!V107*'Model inputs'!AJ21</f>
        <v>394.9907359652816</v>
      </c>
      <c r="W98" s="8">
        <f>'Model inputs'!W107*'Model inputs'!AJ21</f>
        <v>417.09092124597595</v>
      </c>
      <c r="X98" s="8">
        <f>'Model inputs'!X107*'Model inputs'!AJ21</f>
        <v>438.7491028210564</v>
      </c>
      <c r="Y98" s="8">
        <f>'Model inputs'!Y107*'Model inputs'!AJ21</f>
        <v>459.9741207646353</v>
      </c>
      <c r="Z98" s="8">
        <f>'Model inputs'!Z107*'Model inputs'!AJ21</f>
        <v>480.7746383493425</v>
      </c>
      <c r="AA98" s="8">
        <f>'Model inputs'!AA107*'Model inputs'!AJ21</f>
        <v>501.1591455823557</v>
      </c>
      <c r="AB98" s="8">
        <f>'Model inputs'!AB107*'Model inputs'!AJ21</f>
        <v>521.1359626707085</v>
      </c>
      <c r="AC98" s="8">
        <f>'Model inputs'!AC107*'Model inputs'!AJ21</f>
        <v>540.7132434172944</v>
      </c>
      <c r="AD98" s="8">
        <f>'Model inputs'!AD107*'Model inputs'!AJ21</f>
        <v>559.8989785489485</v>
      </c>
      <c r="AE98" s="8">
        <f>'Model inputs'!AE107*'Model inputs'!AJ21</f>
        <v>578.7009989779697</v>
      </c>
      <c r="AF98" s="8">
        <f>'Model inputs'!AF107*'Model inputs'!AJ21</f>
        <v>597.1269789984102</v>
      </c>
      <c r="AG98" s="8">
        <f>'Model inputs'!AG107*'Model inputs'!AJ21</f>
        <v>615.1844394184419</v>
      </c>
      <c r="AH98" s="8">
        <f>'Model inputs'!AH107*'Model inputs'!AJ21</f>
        <v>632.8807506300731</v>
      </c>
      <c r="AI98" s="8">
        <f>'Model inputs'!AI107*'Model inputs'!AJ21</f>
        <v>650.2231356174717</v>
      </c>
    </row>
    <row r="99" outlineLevel="1">
      <c r="A99" t="inlineStr" s="23">
        <is>
          <t xml:space="preserve">Extra executions &gt; Small shop</t>
        </is>
      </c>
      <c r="K99" s="8">
        <f>'SwapDesk — Operations · Merchan'!B28</f>
        <v>0</v>
      </c>
      <c r="L99" s="8">
        <f>'Model inputs'!L108*'Model inputs'!AJ22</f>
        <v>105.3</v>
      </c>
      <c r="M99" s="8">
        <f>'Model inputs'!M108*'Model inputs'!AJ22</f>
        <v>120.141</v>
      </c>
      <c r="N99" s="8">
        <f>'Model inputs'!N108*'Model inputs'!AJ22</f>
        <v>134.53677</v>
      </c>
      <c r="O99" s="8">
        <f>'Model inputs'!O108*'Model inputs'!AJ22</f>
        <v>148.50066689999997</v>
      </c>
      <c r="P99" s="8">
        <f>'Model inputs'!P108*'Model inputs'!AJ22</f>
        <v>162.045646893</v>
      </c>
      <c r="Q99" s="8">
        <f>'Model inputs'!Q108*'Model inputs'!AJ22</f>
        <v>175.18427748621</v>
      </c>
      <c r="R99" s="8">
        <f>'Model inputs'!R108*'Model inputs'!AJ22</f>
        <v>187.9287491616237</v>
      </c>
      <c r="S99" s="8">
        <f>'Model inputs'!S108*'Model inputs'!AJ22</f>
        <v>200.29088668677497</v>
      </c>
      <c r="T99" s="8">
        <f>'Model inputs'!T108*'Model inputs'!AJ22</f>
        <v>212.28216008617173</v>
      </c>
      <c r="U99" s="8">
        <f>'Model inputs'!U108*'Model inputs'!AJ22</f>
        <v>223.9136952835866</v>
      </c>
      <c r="V99" s="8">
        <f>'Model inputs'!V108*'Model inputs'!AJ22</f>
        <v>235.196284425079</v>
      </c>
      <c r="W99" s="8">
        <f>'Model inputs'!W108*'Model inputs'!AJ22</f>
        <v>246.14039589232664</v>
      </c>
      <c r="X99" s="8">
        <f>'Model inputs'!X108*'Model inputs'!AJ22</f>
        <v>256.7561840155568</v>
      </c>
      <c r="Y99" s="8">
        <f>'Model inputs'!Y108*'Model inputs'!AJ22</f>
        <v>267.05349849509014</v>
      </c>
      <c r="Z99" s="8">
        <f>'Model inputs'!Z108*'Model inputs'!AJ22</f>
        <v>277.0418935402375</v>
      </c>
      <c r="AA99" s="8">
        <f>'Model inputs'!AA108*'Model inputs'!AJ22</f>
        <v>286.7306367340303</v>
      </c>
      <c r="AB99" s="8">
        <f>'Model inputs'!AB108*'Model inputs'!AJ22</f>
        <v>296.1287176320094</v>
      </c>
      <c r="AC99" s="8">
        <f>'Model inputs'!AC108*'Model inputs'!AJ22</f>
        <v>305.24485610304913</v>
      </c>
      <c r="AD99" s="8">
        <f>'Model inputs'!AD108*'Model inputs'!AJ22</f>
        <v>314.08751041995765</v>
      </c>
      <c r="AE99" s="8">
        <f>'Model inputs'!AE108*'Model inputs'!AJ22</f>
        <v>322.66488510735894</v>
      </c>
      <c r="AF99" s="8">
        <f>'Model inputs'!AF108*'Model inputs'!AJ22</f>
        <v>330.9849385541382</v>
      </c>
      <c r="AG99" s="8">
        <f>'Model inputs'!AG108*'Model inputs'!AJ22</f>
        <v>339.05539039751403</v>
      </c>
      <c r="AH99" s="8">
        <f>'Model inputs'!AH108*'Model inputs'!AJ22</f>
        <v>346.88372868558866</v>
      </c>
      <c r="AI99" s="8">
        <f>'Model inputs'!AI108*'Model inputs'!AJ22</f>
        <v>354.477216825021</v>
      </c>
    </row>
    <row r="100">
      <c r="A100" t="inlineStr" s="22">
        <is>
          <t xml:space="preserve">Verified arrangements</t>
        </is>
      </c>
      <c r="K100" s="10">
        <f>SUM('Model inputs'!K101,'Model inputs'!K102)</f>
        <v>0</v>
      </c>
      <c r="L100" s="10">
        <f>SUM('Model inputs'!L101,'Model inputs'!L102)</f>
        <v>1095.9</v>
      </c>
      <c r="M100" s="10">
        <f>SUM('Model inputs'!M101,'Model inputs'!M102)</f>
        <v>1277.419</v>
      </c>
      <c r="N100" s="10">
        <f>SUM('Model inputs'!N101,'Model inputs'!N102)</f>
        <v>1454.66451</v>
      </c>
      <c r="O100" s="10">
        <f>SUM('Model inputs'!O101,'Model inputs'!O102)</f>
        <v>1627.7412931000001</v>
      </c>
      <c r="P100" s="10">
        <f>SUM('Model inputs'!P101,'Model inputs'!P102)</f>
        <v>1796.7514383389998</v>
      </c>
      <c r="Q100" s="10">
        <f>SUM('Model inputs'!Q101,'Model inputs'!Q102)</f>
        <v>1961.7944315401899</v>
      </c>
      <c r="R100" s="10">
        <f>SUM('Model inputs'!R101,'Model inputs'!R102)</f>
        <v>2122.967224218317</v>
      </c>
      <c r="S100" s="10">
        <f>SUM('Model inputs'!S101,'Model inputs'!S102)</f>
        <v>2280.3643006036136</v>
      </c>
      <c r="T100" s="10">
        <f>SUM('Model inputs'!T101,'Model inputs'!T102)</f>
        <v>2434.077742835115</v>
      </c>
      <c r="U100" s="10">
        <f>SUM('Model inputs'!U101,'Model inputs'!U102)</f>
        <v>2584.1972943746787</v>
      </c>
      <c r="V100" s="10">
        <f>SUM('Model inputs'!V101,'Model inputs'!V102)</f>
        <v>2730.8104216915626</v>
      </c>
      <c r="W100" s="10">
        <f>SUM('Model inputs'!W101,'Model inputs'!W102)</f>
        <v>2874.002374265978</v>
      </c>
      <c r="X100" s="10">
        <f>SUM('Model inputs'!X101,'Model inputs'!X102)</f>
        <v>3013.8562429586577</v>
      </c>
      <c r="Y100" s="10">
        <f>SUM('Model inputs'!Y101,'Model inputs'!Y102)</f>
        <v>3150.453016792144</v>
      </c>
      <c r="Z100" s="10">
        <f>SUM('Model inputs'!Z101,'Model inputs'!Z102)</f>
        <v>3283.8716381881804</v>
      </c>
      <c r="AA100" s="10">
        <f>SUM('Model inputs'!AA101,'Model inputs'!AA102)</f>
        <v>3414.1890567043397</v>
      </c>
      <c r="AB100" s="10">
        <f>SUM('Model inputs'!AB101,'Model inputs'!AB102)</f>
        <v>3541.4802813117785</v>
      </c>
      <c r="AC100" s="10">
        <f>SUM('Model inputs'!AC101,'Model inputs'!AC102)</f>
        <v>3665.8184312548224</v>
      </c>
      <c r="AD100" s="10">
        <f>SUM('Model inputs'!AD101,'Model inputs'!AD102)</f>
        <v>3787.274785531927</v>
      </c>
      <c r="AE100" s="10">
        <f>SUM('Model inputs'!AE101,'Model inputs'!AE102)</f>
        <v>3905.9188310364243</v>
      </c>
      <c r="AF100" s="10">
        <f>SUM('Model inputs'!AF101,'Model inputs'!AF102)</f>
        <v>4021.8183093943767</v>
      </c>
      <c r="AG100" s="10">
        <f>SUM('Model inputs'!AG101,'Model inputs'!AG102)</f>
        <v>4135.03926253581</v>
      </c>
      <c r="AH100" s="10">
        <f>SUM('Model inputs'!AH101,'Model inputs'!AH102)</f>
        <v>4245.646077034535</v>
      </c>
      <c r="AI100" s="10">
        <f>SUM('Model inputs'!AI101,'Model inputs'!AI102)</f>
        <v>4353.701527250802</v>
      </c>
    </row>
    <row r="101" outlineLevel="1">
      <c r="A101" t="inlineStr" s="23">
        <is>
          <t xml:space="preserve">Verified arrangements &gt; Growing shop</t>
        </is>
      </c>
      <c r="K101" s="8">
        <f>'SwapDesk — Operations · Merchan'!B21</f>
        <v>0</v>
      </c>
      <c r="L101" s="8">
        <f>'Model inputs'!L107*'Model inputs'!AJ64</f>
        <v>639.6</v>
      </c>
      <c r="M101" s="8">
        <f>'Model inputs'!M107*'Model inputs'!AJ64</f>
        <v>756.808</v>
      </c>
      <c r="N101" s="8">
        <f>'Model inputs'!N107*'Model inputs'!AJ64</f>
        <v>871.6718400000002</v>
      </c>
      <c r="O101" s="8">
        <f>'Model inputs'!O107*'Model inputs'!AJ64</f>
        <v>984.2384032000001</v>
      </c>
      <c r="P101" s="8">
        <f>'Model inputs'!P107*'Model inputs'!AJ64</f>
        <v>1094.553635136</v>
      </c>
      <c r="Q101" s="8">
        <f>'Model inputs'!Q107*'Model inputs'!AJ64</f>
        <v>1202.6625624332798</v>
      </c>
      <c r="R101" s="8">
        <f>'Model inputs'!R107*'Model inputs'!AJ64</f>
        <v>1308.6093111846144</v>
      </c>
      <c r="S101" s="8">
        <f>'Model inputs'!S107*'Model inputs'!AJ64</f>
        <v>1412.437124960922</v>
      </c>
      <c r="T101" s="8">
        <f>'Model inputs'!T107*'Model inputs'!AJ64</f>
        <v>1514.1883824617037</v>
      </c>
      <c r="U101" s="8">
        <f>'Model inputs'!U107*'Model inputs'!AJ64</f>
        <v>1613.9046148124698</v>
      </c>
      <c r="V101" s="8">
        <f>'Model inputs'!V107*'Model inputs'!AJ64</f>
        <v>1711.6265225162203</v>
      </c>
      <c r="W101" s="8">
        <f>'Model inputs'!W107*'Model inputs'!AJ64</f>
        <v>1807.3939920658959</v>
      </c>
      <c r="X101" s="8">
        <f>'Model inputs'!X107*'Model inputs'!AJ64</f>
        <v>1901.246112224578</v>
      </c>
      <c r="Y101" s="8">
        <f>'Model inputs'!Y107*'Model inputs'!AJ64</f>
        <v>1993.2211899800866</v>
      </c>
      <c r="Z101" s="8">
        <f>'Model inputs'!Z107*'Model inputs'!AJ64</f>
        <v>2083.3567661804846</v>
      </c>
      <c r="AA101" s="8">
        <f>'Model inputs'!AA107*'Model inputs'!AJ64</f>
        <v>2171.689630856875</v>
      </c>
      <c r="AB101" s="8">
        <f>'Model inputs'!AB107*'Model inputs'!AJ64</f>
        <v>2258.2558382397374</v>
      </c>
      <c r="AC101" s="8">
        <f>'Model inputs'!AC107*'Model inputs'!AJ64</f>
        <v>2343.0907214749427</v>
      </c>
      <c r="AD101" s="8">
        <f>'Model inputs'!AD107*'Model inputs'!AJ64</f>
        <v>2426.228907045444</v>
      </c>
      <c r="AE101" s="8">
        <f>'Model inputs'!AE107*'Model inputs'!AJ64</f>
        <v>2507.7043289045355</v>
      </c>
      <c r="AF101" s="8">
        <f>'Model inputs'!AF107*'Model inputs'!AJ64</f>
        <v>2587.5502423264443</v>
      </c>
      <c r="AG101" s="8">
        <f>'Model inputs'!AG107*'Model inputs'!AJ64</f>
        <v>2665.7992374799155</v>
      </c>
      <c r="AH101" s="8">
        <f>'Model inputs'!AH107*'Model inputs'!AJ64</f>
        <v>2742.483252730317</v>
      </c>
      <c r="AI101" s="8">
        <f>'Model inputs'!AI107*'Model inputs'!AJ64</f>
        <v>2817.633587675711</v>
      </c>
    </row>
    <row r="102" outlineLevel="1">
      <c r="A102" t="inlineStr" s="23">
        <is>
          <t xml:space="preserve">Verified arrangements &gt; Small shop</t>
        </is>
      </c>
      <c r="K102" s="8">
        <f>'SwapDesk — Operations · Merchan'!B22</f>
        <v>0</v>
      </c>
      <c r="L102" s="8">
        <f>'Model inputs'!L108*'Model inputs'!AJ65</f>
        <v>456.3</v>
      </c>
      <c r="M102" s="8">
        <f>'Model inputs'!M108*'Model inputs'!AJ65</f>
        <v>520.6110000000001</v>
      </c>
      <c r="N102" s="8">
        <f>'Model inputs'!N108*'Model inputs'!AJ65</f>
        <v>582.99267</v>
      </c>
      <c r="O102" s="8">
        <f>'Model inputs'!O108*'Model inputs'!AJ65</f>
        <v>643.5028899</v>
      </c>
      <c r="P102" s="8">
        <f>'Model inputs'!P108*'Model inputs'!AJ65</f>
        <v>702.197803203</v>
      </c>
      <c r="Q102" s="8">
        <f>'Model inputs'!Q108*'Model inputs'!AJ65</f>
        <v>759.13186910691</v>
      </c>
      <c r="R102" s="8">
        <f>'Model inputs'!R108*'Model inputs'!AJ65</f>
        <v>814.3579130337027</v>
      </c>
      <c r="S102" s="8">
        <f>'Model inputs'!S108*'Model inputs'!AJ65</f>
        <v>867.9271756426916</v>
      </c>
      <c r="T102" s="8">
        <f>'Model inputs'!T108*'Model inputs'!AJ65</f>
        <v>919.8893603734109</v>
      </c>
      <c r="U102" s="8">
        <f>'Model inputs'!U108*'Model inputs'!AJ65</f>
        <v>970.2926795622087</v>
      </c>
      <c r="V102" s="8">
        <f>'Model inputs'!V108*'Model inputs'!AJ65</f>
        <v>1019.1838991753424</v>
      </c>
      <c r="W102" s="8">
        <f>'Model inputs'!W108*'Model inputs'!AJ65</f>
        <v>1066.6083822000821</v>
      </c>
      <c r="X102" s="8">
        <f>'Model inputs'!X108*'Model inputs'!AJ65</f>
        <v>1112.6101307340798</v>
      </c>
      <c r="Y102" s="8">
        <f>'Model inputs'!Y108*'Model inputs'!AJ65</f>
        <v>1157.2318268120573</v>
      </c>
      <c r="Z102" s="8">
        <f>'Model inputs'!Z108*'Model inputs'!AJ65</f>
        <v>1200.5148720076957</v>
      </c>
      <c r="AA102" s="8">
        <f>'Model inputs'!AA108*'Model inputs'!AJ65</f>
        <v>1242.4994258474649</v>
      </c>
      <c r="AB102" s="8">
        <f>'Model inputs'!AB108*'Model inputs'!AJ65</f>
        <v>1283.224443072041</v>
      </c>
      <c r="AC102" s="8">
        <f>'Model inputs'!AC108*'Model inputs'!AJ65</f>
        <v>1322.7277097798797</v>
      </c>
      <c r="AD102" s="8">
        <f>'Model inputs'!AD108*'Model inputs'!AJ65</f>
        <v>1361.0458784864832</v>
      </c>
      <c r="AE102" s="8">
        <f>'Model inputs'!AE108*'Model inputs'!AJ65</f>
        <v>1398.2145021318888</v>
      </c>
      <c r="AF102" s="8">
        <f>'Model inputs'!AF108*'Model inputs'!AJ65</f>
        <v>1434.2680670679324</v>
      </c>
      <c r="AG102" s="8">
        <f>'Model inputs'!AG108*'Model inputs'!AJ65</f>
        <v>1469.2400250558944</v>
      </c>
      <c r="AH102" s="8">
        <f>'Model inputs'!AH108*'Model inputs'!AJ65</f>
        <v>1503.1628243042176</v>
      </c>
      <c r="AI102" s="8">
        <f>'Model inputs'!AI108*'Model inputs'!AJ65</f>
        <v>1536.067939575091</v>
      </c>
    </row>
    <row r="103">
      <c r="A103" t="inlineStr" s="22">
        <is>
          <t xml:space="preserve">Merchant support cost</t>
        </is>
      </c>
      <c r="K103" s="6">
        <f>SUM('Model inputs'!K104,'Model inputs'!K105)</f>
        <v>0</v>
      </c>
      <c r="L103" s="6">
        <f>SUM('Model inputs'!L104,'Model inputs'!L105)</f>
        <v>67.3125</v>
      </c>
      <c r="M103" s="6">
        <f>SUM('Model inputs'!M104,'Model inputs'!M105)</f>
        <v>78.10062500000001</v>
      </c>
      <c r="N103" s="6">
        <f>SUM('Model inputs'!N104,'Model inputs'!N105)</f>
        <v>88.62145625000001</v>
      </c>
      <c r="O103" s="6">
        <f>SUM('Model inputs'!O104,'Model inputs'!O105)</f>
        <v>98.8818855625</v>
      </c>
      <c r="P103" s="6">
        <f>SUM('Model inputs'!P104,'Model inputs'!P105)</f>
        <v>108.888620535625</v>
      </c>
      <c r="Q103" s="6">
        <f>SUM('Model inputs'!Q104,'Model inputs'!Q105)</f>
        <v>118.64818962875623</v>
      </c>
      <c r="R103" s="6">
        <f>SUM('Model inputs'!R104,'Model inputs'!R105)</f>
        <v>128.16694709490955</v>
      </c>
      <c r="S103" s="6">
        <f>SUM('Model inputs'!S104,'Model inputs'!S105)</f>
        <v>137.45107777397794</v>
      </c>
      <c r="T103" s="6">
        <f>SUM('Model inputs'!T104,'Model inputs'!T105)</f>
        <v>146.50660175083598</v>
      </c>
      <c r="U103" s="6">
        <f>SUM('Model inputs'!U104,'Model inputs'!U105)</f>
        <v>155.33937888218674</v>
      </c>
      <c r="V103" s="6">
        <f>SUM('Model inputs'!V104,'Model inputs'!V105)</f>
        <v>163.95511319591944</v>
      </c>
      <c r="W103" s="6">
        <f>SUM('Model inputs'!W104,'Model inputs'!W105)</f>
        <v>172.3593571666362</v>
      </c>
      <c r="X103" s="6">
        <f>SUM('Model inputs'!X104,'Model inputs'!X105)</f>
        <v>180.55751587089955</v>
      </c>
      <c r="Y103" s="6">
        <f>SUM('Model inputs'!Y104,'Model inputs'!Y105)</f>
        <v>188.55485102564978</v>
      </c>
      <c r="Z103" s="6">
        <f>SUM('Model inputs'!Z104,'Model inputs'!Z105)</f>
        <v>196.35648491313992</v>
      </c>
      <c r="AA103" s="6">
        <f>SUM('Model inputs'!AA104,'Model inputs'!AA105)</f>
        <v>203.9674041956402</v>
      </c>
      <c r="AB103" s="6">
        <f>SUM('Model inputs'!AB104,'Model inputs'!AB105)</f>
        <v>211.39246362306756</v>
      </c>
      <c r="AC103" s="6">
        <f>SUM('Model inputs'!AC104,'Model inputs'!AC105)</f>
        <v>218.6363896366062</v>
      </c>
      <c r="AD103" s="6">
        <f>SUM('Model inputs'!AD104,'Model inputs'!AD105)</f>
        <v>225.70378387129404</v>
      </c>
      <c r="AE103" s="6">
        <f>SUM('Model inputs'!AE104,'Model inputs'!AE105)</f>
        <v>232.59912656046555</v>
      </c>
      <c r="AF103" s="6">
        <f>SUM('Model inputs'!AF104,'Model inputs'!AF105)</f>
        <v>239.32677984485565</v>
      </c>
      <c r="AG103" s="6">
        <f>SUM('Model inputs'!AG104,'Model inputs'!AG105)</f>
        <v>245.89099098909</v>
      </c>
      <c r="AH103" s="6">
        <f>SUM('Model inputs'!AH104,'Model inputs'!AH105)</f>
        <v>252.29589550820572</v>
      </c>
      <c r="AI103" s="6">
        <f>SUM('Model inputs'!AI104,'Model inputs'!AI105)</f>
        <v>258.5455202067722</v>
      </c>
    </row>
    <row r="104" outlineLevel="1">
      <c r="A104" t="inlineStr" s="23">
        <is>
          <t xml:space="preserve">Merchant support cost &gt; Growing shop</t>
        </is>
      </c>
      <c r="K104" s="9">
        <f>'SwapDesk — Operations · Merchan'!B48</f>
        <v>0</v>
      </c>
      <c r="L104" s="9">
        <f>'Model inputs'!L18*'Model inputs'!B60/60*'Model inputs'!B62</f>
        <v>30.75</v>
      </c>
      <c r="M104" s="9">
        <f>'Model inputs'!M18*'Model inputs'!B60/60*'Model inputs'!B62</f>
        <v>36.385</v>
      </c>
      <c r="N104" s="9">
        <f>'Model inputs'!N18*'Model inputs'!B60/60*'Model inputs'!B62</f>
        <v>41.907300000000006</v>
      </c>
      <c r="O104" s="9">
        <f>'Model inputs'!O18*'Model inputs'!B60/60*'Model inputs'!B62</f>
        <v>47.319154000000005</v>
      </c>
      <c r="P104" s="9">
        <f>'Model inputs'!P18*'Model inputs'!B60/60*'Model inputs'!B62</f>
        <v>52.622770919999994</v>
      </c>
      <c r="Q104" s="9">
        <f>'Model inputs'!Q18*'Model inputs'!B60/60*'Model inputs'!B62</f>
        <v>57.82031550159999</v>
      </c>
      <c r="R104" s="9">
        <f>'Model inputs'!R18*'Model inputs'!B60/60*'Model inputs'!B62</f>
        <v>62.91390919156798</v>
      </c>
      <c r="S104" s="9">
        <f>'Model inputs'!S18*'Model inputs'!B60/60*'Model inputs'!B62</f>
        <v>67.90563100773663</v>
      </c>
      <c r="T104" s="9">
        <f>'Model inputs'!T18*'Model inputs'!B60/60*'Model inputs'!B62</f>
        <v>72.7975183875819</v>
      </c>
      <c r="U104" s="9">
        <f>'Model inputs'!U18*'Model inputs'!B60/60*'Model inputs'!B62</f>
        <v>77.59156801983028</v>
      </c>
      <c r="V104" s="9">
        <f>'Model inputs'!V18*'Model inputs'!B60/60*'Model inputs'!B62</f>
        <v>82.28973665943367</v>
      </c>
      <c r="W104" s="9">
        <f>'Model inputs'!W18*'Model inputs'!B60/60*'Model inputs'!B62</f>
        <v>86.89394192624499</v>
      </c>
      <c r="X104" s="9">
        <f>'Model inputs'!X18*'Model inputs'!B60/60*'Model inputs'!B62</f>
        <v>91.40606308772009</v>
      </c>
      <c r="Y104" s="9">
        <f>'Model inputs'!Y18*'Model inputs'!B60/60*'Model inputs'!B62</f>
        <v>95.8279418259657</v>
      </c>
      <c r="Z104" s="9">
        <f>'Model inputs'!Z18*'Model inputs'!B60/60*'Model inputs'!B62</f>
        <v>100.16138298944637</v>
      </c>
      <c r="AA104" s="9">
        <f>'Model inputs'!AA18*'Model inputs'!B60/60*'Model inputs'!B62</f>
        <v>104.40815532965743</v>
      </c>
      <c r="AB104" s="9">
        <f>'Model inputs'!AB18*'Model inputs'!B60/60*'Model inputs'!B62</f>
        <v>108.56999222306429</v>
      </c>
      <c r="AC104" s="9">
        <f>'Model inputs'!AC18*'Model inputs'!B60/60*'Model inputs'!B62</f>
        <v>112.64859237860301</v>
      </c>
      <c r="AD104" s="9">
        <f>'Model inputs'!AD18*'Model inputs'!B60/60*'Model inputs'!B62</f>
        <v>116.64562053103094</v>
      </c>
      <c r="AE104" s="9">
        <f>'Model inputs'!AE18*'Model inputs'!B60/60*'Model inputs'!B62</f>
        <v>120.56270812041035</v>
      </c>
      <c r="AF104" s="9">
        <f>'Model inputs'!AF18*'Model inputs'!B60/60*'Model inputs'!B62</f>
        <v>124.40145395800212</v>
      </c>
      <c r="AG104" s="9">
        <f>'Model inputs'!AG18*'Model inputs'!B60/60*'Model inputs'!B62</f>
        <v>128.16342487884208</v>
      </c>
      <c r="AH104" s="9">
        <f>'Model inputs'!AH18*'Model inputs'!B60/60*'Model inputs'!B62</f>
        <v>131.85015638126524</v>
      </c>
      <c r="AI104" s="9">
        <f>'Model inputs'!AI18*'Model inputs'!B60/60*'Model inputs'!B62</f>
        <v>135.46315325363994</v>
      </c>
    </row>
    <row r="105" outlineLevel="1">
      <c r="A105" t="inlineStr" s="23">
        <is>
          <t xml:space="preserve">Merchant support cost &gt; Small shop</t>
        </is>
      </c>
      <c r="K105" s="9">
        <f>'SwapDesk — Operations · Merchan'!B49</f>
        <v>0</v>
      </c>
      <c r="L105" s="9">
        <f>'Model inputs'!L19*'Model inputs'!B61/60*'Model inputs'!B62</f>
        <v>36.5625</v>
      </c>
      <c r="M105" s="9">
        <f>'Model inputs'!M19*'Model inputs'!B61/60*'Model inputs'!B62</f>
        <v>41.715625</v>
      </c>
      <c r="N105" s="9">
        <f>'Model inputs'!N19*'Model inputs'!B61/60*'Model inputs'!B62</f>
        <v>46.71415625</v>
      </c>
      <c r="O105" s="9">
        <f>'Model inputs'!O19*'Model inputs'!B61/60*'Model inputs'!B62</f>
        <v>51.5627315625</v>
      </c>
      <c r="P105" s="9">
        <f>'Model inputs'!P19*'Model inputs'!B61/60*'Model inputs'!B62</f>
        <v>56.265849615624994</v>
      </c>
      <c r="Q105" s="9">
        <f>'Model inputs'!Q19*'Model inputs'!B61/60*'Model inputs'!B62</f>
        <v>60.82787412715624</v>
      </c>
      <c r="R105" s="9">
        <f>'Model inputs'!R19*'Model inputs'!B61/60*'Model inputs'!B62</f>
        <v>65.25303790334156</v>
      </c>
      <c r="S105" s="9">
        <f>'Model inputs'!S19*'Model inputs'!B61/60*'Model inputs'!B62</f>
        <v>69.54544676624131</v>
      </c>
      <c r="T105" s="9">
        <f>'Model inputs'!T19*'Model inputs'!B61/60*'Model inputs'!B62</f>
        <v>73.70908336325408</v>
      </c>
      <c r="U105" s="9">
        <f>'Model inputs'!U19*'Model inputs'!B61/60*'Model inputs'!B62</f>
        <v>77.74781086235646</v>
      </c>
      <c r="V105" s="9">
        <f>'Model inputs'!V19*'Model inputs'!B61/60*'Model inputs'!B62</f>
        <v>81.66537653648577</v>
      </c>
      <c r="W105" s="9">
        <f>'Model inputs'!W19*'Model inputs'!B61/60*'Model inputs'!B62</f>
        <v>85.4654152403912</v>
      </c>
      <c r="X105" s="9">
        <f>'Model inputs'!X19*'Model inputs'!B61/60*'Model inputs'!B62</f>
        <v>89.15145278317947</v>
      </c>
      <c r="Y105" s="9">
        <f>'Model inputs'!Y19*'Model inputs'!B61/60*'Model inputs'!B62</f>
        <v>92.72690919968409</v>
      </c>
      <c r="Z105" s="9">
        <f>'Model inputs'!Z19*'Model inputs'!B61/60*'Model inputs'!B62</f>
        <v>96.19510192369356</v>
      </c>
      <c r="AA105" s="9">
        <f>'Model inputs'!AA19*'Model inputs'!B61/60*'Model inputs'!B62</f>
        <v>99.55924886598275</v>
      </c>
      <c r="AB105" s="9">
        <f>'Model inputs'!AB19*'Model inputs'!B61/60*'Model inputs'!B62</f>
        <v>102.82247140000327</v>
      </c>
      <c r="AC105" s="9">
        <f>'Model inputs'!AC19*'Model inputs'!B61/60*'Model inputs'!B62</f>
        <v>105.98779725800318</v>
      </c>
      <c r="AD105" s="9">
        <f>'Model inputs'!AD19*'Model inputs'!B61/60*'Model inputs'!B62</f>
        <v>109.05816334026308</v>
      </c>
      <c r="AE105" s="9">
        <f>'Model inputs'!AE19*'Model inputs'!B61/60*'Model inputs'!B62</f>
        <v>112.03641844005519</v>
      </c>
      <c r="AF105" s="9">
        <f>'Model inputs'!AF19*'Model inputs'!B61/60*'Model inputs'!B62</f>
        <v>114.92532588685353</v>
      </c>
      <c r="AG105" s="9">
        <f>'Model inputs'!AG19*'Model inputs'!B61/60*'Model inputs'!B62</f>
        <v>117.72756611024792</v>
      </c>
      <c r="AH105" s="9">
        <f>'Model inputs'!AH19*'Model inputs'!B61/60*'Model inputs'!B62</f>
        <v>120.4457391269405</v>
      </c>
      <c r="AI105" s="9">
        <f>'Model inputs'!AI19*'Model inputs'!B61/60*'Model inputs'!B62</f>
        <v>123.08236695313228</v>
      </c>
    </row>
    <row r="106">
      <c r="A106" t="inlineStr" s="22">
        <is>
          <t xml:space="preserve">Attempted cases</t>
        </is>
      </c>
      <c r="K106" s="10">
        <f>SUM('Model inputs'!K107,'Model inputs'!K108)</f>
        <v>0</v>
      </c>
      <c r="L106" s="10">
        <f>SUM('Model inputs'!L107,'Model inputs'!L108)</f>
        <v>1686</v>
      </c>
      <c r="M106" s="10">
        <f>SUM('Model inputs'!M107,'Model inputs'!M108)</f>
        <v>1965.26</v>
      </c>
      <c r="N106" s="10">
        <f>SUM('Model inputs'!N107,'Model inputs'!N108)</f>
        <v>2237.9454</v>
      </c>
      <c r="O106" s="10">
        <f>SUM('Model inputs'!O107,'Model inputs'!O108)</f>
        <v>2504.217374</v>
      </c>
      <c r="P106" s="10">
        <f>SUM('Model inputs'!P107,'Model inputs'!P108)</f>
        <v>2764.23298206</v>
      </c>
      <c r="Q106" s="10">
        <f>SUM('Model inputs'!Q107,'Model inputs'!Q108)</f>
        <v>3018.1452792925998</v>
      </c>
      <c r="R106" s="10">
        <f>SUM('Model inputs'!R107,'Model inputs'!R108)</f>
        <v>3266.103421874334</v>
      </c>
      <c r="S106" s="10">
        <f>SUM('Model inputs'!S107,'Model inputs'!S108)</f>
        <v>3508.2527701594054</v>
      </c>
      <c r="T106" s="10">
        <f>SUM('Model inputs'!T107,'Model inputs'!T108)</f>
        <v>3744.7349889770994</v>
      </c>
      <c r="U106" s="10">
        <f>SUM('Model inputs'!U107,'Model inputs'!U108)</f>
        <v>3975.688145191813</v>
      </c>
      <c r="V106" s="10">
        <f>SUM('Model inputs'!V107,'Model inputs'!V108)</f>
        <v>4201.246802602404</v>
      </c>
      <c r="W106" s="10">
        <f>SUM('Model inputs'!W107,'Model inputs'!W108)</f>
        <v>4421.5421142553505</v>
      </c>
      <c r="X106" s="10">
        <f>SUM('Model inputs'!X107,'Model inputs'!X108)</f>
        <v>4636.701912244089</v>
      </c>
      <c r="Y106" s="10">
        <f>SUM('Model inputs'!Y107,'Model inputs'!Y108)</f>
        <v>4846.850795064836</v>
      </c>
      <c r="Z106" s="10">
        <f>SUM('Model inputs'!Z107,'Model inputs'!Z108)</f>
        <v>5052.1102125972</v>
      </c>
      <c r="AA106" s="10">
        <f>SUM('Model inputs'!AA107,'Model inputs'!AA108)</f>
        <v>5252.598548775906</v>
      </c>
      <c r="AB106" s="10">
        <f>SUM('Model inputs'!AB107,'Model inputs'!AB108)</f>
        <v>5448.4312020181205</v>
      </c>
      <c r="AC106" s="10">
        <f>SUM('Model inputs'!AC107,'Model inputs'!AC108)</f>
        <v>5639.720663468957</v>
      </c>
      <c r="AD106" s="10">
        <f>SUM('Model inputs'!AD107,'Model inputs'!AD108)</f>
        <v>5826.576593126041</v>
      </c>
      <c r="AE106" s="10">
        <f>SUM('Model inputs'!AE107,'Model inputs'!AE108)</f>
        <v>6009.105893902191</v>
      </c>
      <c r="AF106" s="10">
        <f>SUM('Model inputs'!AF107,'Model inputs'!AF108)</f>
        <v>6187.412783683656</v>
      </c>
      <c r="AG106" s="10">
        <f>SUM('Model inputs'!AG107,'Model inputs'!AG108)</f>
        <v>6361.598865439707</v>
      </c>
      <c r="AH106" s="10">
        <f>SUM('Model inputs'!AH107,'Model inputs'!AH108)</f>
        <v>6531.763195437745</v>
      </c>
      <c r="AI106" s="10">
        <f>SUM('Model inputs'!AI107,'Model inputs'!AI108)</f>
        <v>6698.002349616618</v>
      </c>
    </row>
    <row r="107" outlineLevel="1">
      <c r="A107" t="inlineStr" s="23">
        <is>
          <t xml:space="preserve">Attempted cases &gt; Growing shop</t>
        </is>
      </c>
      <c r="K107" s="8">
        <f>'SwapDesk — Operations · Merchan'!B18</f>
        <v>0</v>
      </c>
      <c r="L107" s="8">
        <f>'Model inputs'!L18*'Model inputs'!B7</f>
        <v>984</v>
      </c>
      <c r="M107" s="8">
        <f>'Model inputs'!M18*'Model inputs'!B7</f>
        <v>1164.32</v>
      </c>
      <c r="N107" s="8">
        <f>'Model inputs'!N18*'Model inputs'!B7</f>
        <v>1341.0336000000002</v>
      </c>
      <c r="O107" s="8">
        <f>'Model inputs'!O18*'Model inputs'!B7</f>
        <v>1514.2129280000001</v>
      </c>
      <c r="P107" s="8">
        <f>'Model inputs'!P18*'Model inputs'!B7</f>
        <v>1683.9286694399998</v>
      </c>
      <c r="Q107" s="8">
        <f>'Model inputs'!Q18*'Model inputs'!B7</f>
        <v>1850.2500960511998</v>
      </c>
      <c r="R107" s="8">
        <f>'Model inputs'!R18*'Model inputs'!B7</f>
        <v>2013.2450941301759</v>
      </c>
      <c r="S107" s="8">
        <f>'Model inputs'!S18*'Model inputs'!B7</f>
        <v>2172.980192247572</v>
      </c>
      <c r="T107" s="8">
        <f>'Model inputs'!T18*'Model inputs'!B7</f>
        <v>2329.520588402621</v>
      </c>
      <c r="U107" s="8">
        <f>'Model inputs'!U18*'Model inputs'!B7</f>
        <v>2482.930176634569</v>
      </c>
      <c r="V107" s="8">
        <f>'Model inputs'!V18*'Model inputs'!B7</f>
        <v>2633.2715731018775</v>
      </c>
      <c r="W107" s="8">
        <f>'Model inputs'!W18*'Model inputs'!B7</f>
        <v>2780.6061416398397</v>
      </c>
      <c r="X107" s="8">
        <f>'Model inputs'!X18*'Model inputs'!B7</f>
        <v>2924.9940188070427</v>
      </c>
      <c r="Y107" s="8">
        <f>'Model inputs'!Y18*'Model inputs'!B7</f>
        <v>3066.4941384309022</v>
      </c>
      <c r="Z107" s="8">
        <f>'Model inputs'!Z18*'Model inputs'!B7</f>
        <v>3205.1642556622837</v>
      </c>
      <c r="AA107" s="8">
        <f>'Model inputs'!AA18*'Model inputs'!B7</f>
        <v>3341.060970549038</v>
      </c>
      <c r="AB107" s="8">
        <f>'Model inputs'!AB18*'Model inputs'!B7</f>
        <v>3474.2397511380573</v>
      </c>
      <c r="AC107" s="8">
        <f>'Model inputs'!AC18*'Model inputs'!B7</f>
        <v>3604.7549561152964</v>
      </c>
      <c r="AD107" s="8">
        <f>'Model inputs'!AD18*'Model inputs'!B7</f>
        <v>3732.6598569929906</v>
      </c>
      <c r="AE107" s="8">
        <f>'Model inputs'!AE18*'Model inputs'!B7</f>
        <v>3858.006659853131</v>
      </c>
      <c r="AF107" s="8">
        <f>'Model inputs'!AF18*'Model inputs'!B7</f>
        <v>3980.846526656068</v>
      </c>
      <c r="AG107" s="8">
        <f>'Model inputs'!AG18*'Model inputs'!B7</f>
        <v>4101.2295961229465</v>
      </c>
      <c r="AH107" s="8">
        <f>'Model inputs'!AH18*'Model inputs'!B7</f>
        <v>4219.205004200488</v>
      </c>
      <c r="AI107" s="8">
        <f>'Model inputs'!AI18*'Model inputs'!B7</f>
        <v>4334.820904116478</v>
      </c>
    </row>
    <row r="108" outlineLevel="1">
      <c r="A108" t="inlineStr" s="23">
        <is>
          <t xml:space="preserve">Attempted cases &gt; Small shop</t>
        </is>
      </c>
      <c r="K108" s="8">
        <f>'SwapDesk — Operations · Merchan'!B19</f>
        <v>0</v>
      </c>
      <c r="L108" s="8">
        <f>'Model inputs'!L19*'Model inputs'!B8</f>
        <v>702</v>
      </c>
      <c r="M108" s="8">
        <f>'Model inputs'!M19*'Model inputs'!B8</f>
        <v>800.94</v>
      </c>
      <c r="N108" s="8">
        <f>'Model inputs'!N19*'Model inputs'!B8</f>
        <v>896.9118</v>
      </c>
      <c r="O108" s="8">
        <f>'Model inputs'!O19*'Model inputs'!B8</f>
        <v>990.0044459999999</v>
      </c>
      <c r="P108" s="8">
        <f>'Model inputs'!P19*'Model inputs'!B8</f>
        <v>1080.30431262</v>
      </c>
      <c r="Q108" s="8">
        <f>'Model inputs'!Q19*'Model inputs'!B8</f>
        <v>1167.8951832414</v>
      </c>
      <c r="R108" s="8">
        <f>'Model inputs'!R19*'Model inputs'!B8</f>
        <v>1252.858327744158</v>
      </c>
      <c r="S108" s="8">
        <f>'Model inputs'!S19*'Model inputs'!B8</f>
        <v>1335.2725779118332</v>
      </c>
      <c r="T108" s="8">
        <f>'Model inputs'!T19*'Model inputs'!B8</f>
        <v>1415.2144005744783</v>
      </c>
      <c r="U108" s="8">
        <f>'Model inputs'!U19*'Model inputs'!B8</f>
        <v>1492.757968557244</v>
      </c>
      <c r="V108" s="8">
        <f>'Model inputs'!V19*'Model inputs'!B8</f>
        <v>1567.9752295005267</v>
      </c>
      <c r="W108" s="8">
        <f>'Model inputs'!W19*'Model inputs'!B8</f>
        <v>1640.935972615511</v>
      </c>
      <c r="X108" s="8">
        <f>'Model inputs'!X19*'Model inputs'!B8</f>
        <v>1711.7078934370456</v>
      </c>
      <c r="Y108" s="8">
        <f>'Model inputs'!Y19*'Model inputs'!B8</f>
        <v>1780.3566566339343</v>
      </c>
      <c r="Z108" s="8">
        <f>'Model inputs'!Z19*'Model inputs'!B8</f>
        <v>1846.9459569349165</v>
      </c>
      <c r="AA108" s="8">
        <f>'Model inputs'!AA19*'Model inputs'!B8</f>
        <v>1911.5375782268688</v>
      </c>
      <c r="AB108" s="8">
        <f>'Model inputs'!AB19*'Model inputs'!B8</f>
        <v>1974.1914508800628</v>
      </c>
      <c r="AC108" s="8">
        <f>'Model inputs'!AC19*'Model inputs'!B8</f>
        <v>2034.965707353661</v>
      </c>
      <c r="AD108" s="8">
        <f>'Model inputs'!AD19*'Model inputs'!B8</f>
        <v>2093.916736133051</v>
      </c>
      <c r="AE108" s="8">
        <f>'Model inputs'!AE19*'Model inputs'!B8</f>
        <v>2151.0992340490598</v>
      </c>
      <c r="AF108" s="8">
        <f>'Model inputs'!AF19*'Model inputs'!B8</f>
        <v>2206.566257027588</v>
      </c>
      <c r="AG108" s="8">
        <f>'Model inputs'!AG19*'Model inputs'!B8</f>
        <v>2260.3692693167604</v>
      </c>
      <c r="AH108" s="8">
        <f>'Model inputs'!AH19*'Model inputs'!B8</f>
        <v>2312.5581912372577</v>
      </c>
      <c r="AI108" s="8">
        <f>'Model inputs'!AI19*'Model inputs'!B8</f>
        <v>2363.18144550014</v>
      </c>
    </row>
    <row r="109">
      <c r="A109" t="inlineStr" s="22">
        <is>
          <t xml:space="preserve">Total executions</t>
        </is>
      </c>
      <c r="K109" s="10">
        <f>SUM('Model inputs'!K110,'Model inputs'!K111)</f>
        <v>0</v>
      </c>
      <c r="L109" s="10">
        <f>SUM('Model inputs'!L110,'Model inputs'!L111)</f>
        <v>1938.8999999999999</v>
      </c>
      <c r="M109" s="10">
        <f>SUM('Model inputs'!M110,'Model inputs'!M111)</f>
        <v>2260.049</v>
      </c>
      <c r="N109" s="10">
        <f>SUM('Model inputs'!N110,'Model inputs'!N111)</f>
        <v>2573.6372100000003</v>
      </c>
      <c r="O109" s="10">
        <f>SUM('Model inputs'!O110,'Model inputs'!O111)</f>
        <v>2879.8499801</v>
      </c>
      <c r="P109" s="10">
        <f>SUM('Model inputs'!P110,'Model inputs'!P111)</f>
        <v>3178.8679293689997</v>
      </c>
      <c r="Q109" s="10">
        <f>SUM('Model inputs'!Q110,'Model inputs'!Q111)</f>
        <v>3470.8670711864897</v>
      </c>
      <c r="R109" s="10">
        <f>SUM('Model inputs'!R110,'Model inputs'!R111)</f>
        <v>3756.018935155484</v>
      </c>
      <c r="S109" s="10">
        <f>SUM('Model inputs'!S110,'Model inputs'!S111)</f>
        <v>4034.490685683316</v>
      </c>
      <c r="T109" s="10">
        <f>SUM('Model inputs'!T110,'Model inputs'!T111)</f>
        <v>4306.445237323664</v>
      </c>
      <c r="U109" s="10">
        <f>SUM('Model inputs'!U110,'Model inputs'!U111)</f>
        <v>4572.041366970585</v>
      </c>
      <c r="V109" s="10">
        <f>SUM('Model inputs'!V110,'Model inputs'!V111)</f>
        <v>4831.433822992765</v>
      </c>
      <c r="W109" s="10">
        <f>SUM('Model inputs'!W110,'Model inputs'!W111)</f>
        <v>5084.7734313936535</v>
      </c>
      <c r="X109" s="10">
        <f>SUM('Model inputs'!X110,'Model inputs'!X111)</f>
        <v>5332.207199080702</v>
      </c>
      <c r="Y109" s="10">
        <f>SUM('Model inputs'!Y110,'Model inputs'!Y111)</f>
        <v>5573.878414324562</v>
      </c>
      <c r="Z109" s="10">
        <f>SUM('Model inputs'!Z110,'Model inputs'!Z111)</f>
        <v>5809.92674448678</v>
      </c>
      <c r="AA109" s="10">
        <f>SUM('Model inputs'!AA110,'Model inputs'!AA111)</f>
        <v>6040.488331092292</v>
      </c>
      <c r="AB109" s="10">
        <f>SUM('Model inputs'!AB110,'Model inputs'!AB111)</f>
        <v>6265.695882320838</v>
      </c>
      <c r="AC109" s="10">
        <f>SUM('Model inputs'!AC110,'Model inputs'!AC111)</f>
        <v>6485.678762989301</v>
      </c>
      <c r="AD109" s="10">
        <f>SUM('Model inputs'!AD110,'Model inputs'!AD111)</f>
        <v>6700.563082094948</v>
      </c>
      <c r="AE109" s="10">
        <f>SUM('Model inputs'!AE110,'Model inputs'!AE111)</f>
        <v>6910.47177798752</v>
      </c>
      <c r="AF109" s="10">
        <f>SUM('Model inputs'!AF110,'Model inputs'!AF111)</f>
        <v>7115.524701236204</v>
      </c>
      <c r="AG109" s="10">
        <f>SUM('Model inputs'!AG110,'Model inputs'!AG111)</f>
        <v>7315.838695255663</v>
      </c>
      <c r="AH109" s="10">
        <f>SUM('Model inputs'!AH110,'Model inputs'!AH111)</f>
        <v>7511.527674753406</v>
      </c>
      <c r="AI109" s="10">
        <f>SUM('Model inputs'!AI110,'Model inputs'!AI111)</f>
        <v>7702.70270205911</v>
      </c>
    </row>
    <row r="110" outlineLevel="1">
      <c r="A110" t="inlineStr" s="23">
        <is>
          <t xml:space="preserve">Total executions &gt; Growing shop</t>
        </is>
      </c>
      <c r="K110" s="8">
        <f>'SwapDesk — Operations · Merchan'!B30</f>
        <v>0</v>
      </c>
      <c r="L110" s="8">
        <f>'Model inputs'!L107+'Model inputs'!L98</f>
        <v>1131.6</v>
      </c>
      <c r="M110" s="8">
        <f>'Model inputs'!M107+'Model inputs'!M98</f>
        <v>1338.9679999999998</v>
      </c>
      <c r="N110" s="8">
        <f>'Model inputs'!N107+'Model inputs'!N98</f>
        <v>1542.1886400000003</v>
      </c>
      <c r="O110" s="8">
        <f>'Model inputs'!O107+'Model inputs'!O98</f>
        <v>1741.3448672000002</v>
      </c>
      <c r="P110" s="8">
        <f>'Model inputs'!P107+'Model inputs'!P98</f>
        <v>1936.5179698559998</v>
      </c>
      <c r="Q110" s="8">
        <f>'Model inputs'!Q107+'Model inputs'!Q98</f>
        <v>2127.7876104588795</v>
      </c>
      <c r="R110" s="8">
        <f>'Model inputs'!R107+'Model inputs'!R98</f>
        <v>2315.2318582497023</v>
      </c>
      <c r="S110" s="8">
        <f>'Model inputs'!S107+'Model inputs'!S98</f>
        <v>2498.927221084708</v>
      </c>
      <c r="T110" s="8">
        <f>'Model inputs'!T107+'Model inputs'!T98</f>
        <v>2678.948676663014</v>
      </c>
      <c r="U110" s="8">
        <f>'Model inputs'!U107+'Model inputs'!U98</f>
        <v>2855.3697031297543</v>
      </c>
      <c r="V110" s="8">
        <f>'Model inputs'!V107+'Model inputs'!V98</f>
        <v>3028.262309067159</v>
      </c>
      <c r="W110" s="8">
        <f>'Model inputs'!W107+'Model inputs'!W98</f>
        <v>3197.6970628858157</v>
      </c>
      <c r="X110" s="8">
        <f>'Model inputs'!X107+'Model inputs'!X98</f>
        <v>3363.7431216280993</v>
      </c>
      <c r="Y110" s="8">
        <f>'Model inputs'!Y107+'Model inputs'!Y98</f>
        <v>3526.4682591955375</v>
      </c>
      <c r="Z110" s="8">
        <f>'Model inputs'!Z107+'Model inputs'!Z98</f>
        <v>3685.9388940116264</v>
      </c>
      <c r="AA110" s="8">
        <f>'Model inputs'!AA107+'Model inputs'!AA98</f>
        <v>3842.2201161313933</v>
      </c>
      <c r="AB110" s="8">
        <f>'Model inputs'!AB107+'Model inputs'!AB98</f>
        <v>3995.375713808766</v>
      </c>
      <c r="AC110" s="8">
        <f>'Model inputs'!AC107+'Model inputs'!AC98</f>
        <v>4145.468199532591</v>
      </c>
      <c r="AD110" s="8">
        <f>'Model inputs'!AD107+'Model inputs'!AD98</f>
        <v>4292.5588355419395</v>
      </c>
      <c r="AE110" s="8">
        <f>'Model inputs'!AE107+'Model inputs'!AE98</f>
        <v>4436.707658831101</v>
      </c>
      <c r="AF110" s="8">
        <f>'Model inputs'!AF107+'Model inputs'!AF98</f>
        <v>4577.973505654478</v>
      </c>
      <c r="AG110" s="8">
        <f>'Model inputs'!AG107+'Model inputs'!AG98</f>
        <v>4716.414035541388</v>
      </c>
      <c r="AH110" s="8">
        <f>'Model inputs'!AH107+'Model inputs'!AH98</f>
        <v>4852.08575483056</v>
      </c>
      <c r="AI110" s="8">
        <f>'Model inputs'!AI107+'Model inputs'!AI98</f>
        <v>4985.04403973395</v>
      </c>
    </row>
    <row r="111" outlineLevel="1">
      <c r="A111" t="inlineStr" s="23">
        <is>
          <t xml:space="preserve">Total executions &gt; Small shop</t>
        </is>
      </c>
      <c r="K111" s="8">
        <f>'SwapDesk — Operations · Merchan'!B31</f>
        <v>0</v>
      </c>
      <c r="L111" s="8">
        <f>'Model inputs'!L108+'Model inputs'!L99</f>
        <v>807.3</v>
      </c>
      <c r="M111" s="8">
        <f>'Model inputs'!M108+'Model inputs'!M99</f>
        <v>921.081</v>
      </c>
      <c r="N111" s="8">
        <f>'Model inputs'!N108+'Model inputs'!N99</f>
        <v>1031.44857</v>
      </c>
      <c r="O111" s="8">
        <f>'Model inputs'!O108+'Model inputs'!O99</f>
        <v>1138.5051128999999</v>
      </c>
      <c r="P111" s="8">
        <f>'Model inputs'!P108+'Model inputs'!P99</f>
        <v>1242.349959513</v>
      </c>
      <c r="Q111" s="8">
        <f>'Model inputs'!Q108+'Model inputs'!Q99</f>
        <v>1343.07946072761</v>
      </c>
      <c r="R111" s="8">
        <f>'Model inputs'!R108+'Model inputs'!R99</f>
        <v>1440.7870769057818</v>
      </c>
      <c r="S111" s="8">
        <f>'Model inputs'!S108+'Model inputs'!S99</f>
        <v>1535.563464598608</v>
      </c>
      <c r="T111" s="8">
        <f>'Model inputs'!T108+'Model inputs'!T99</f>
        <v>1627.49656066065</v>
      </c>
      <c r="U111" s="8">
        <f>'Model inputs'!U108+'Model inputs'!U99</f>
        <v>1716.6716638408307</v>
      </c>
      <c r="V111" s="8">
        <f>'Model inputs'!V108+'Model inputs'!V99</f>
        <v>1803.1715139256057</v>
      </c>
      <c r="W111" s="8">
        <f>'Model inputs'!W108+'Model inputs'!W99</f>
        <v>1887.0763685078377</v>
      </c>
      <c r="X111" s="8">
        <f>'Model inputs'!X108+'Model inputs'!X99</f>
        <v>1968.4640774526024</v>
      </c>
      <c r="Y111" s="8">
        <f>'Model inputs'!Y108+'Model inputs'!Y99</f>
        <v>2047.4101551290246</v>
      </c>
      <c r="Z111" s="8">
        <f>'Model inputs'!Z108+'Model inputs'!Z99</f>
        <v>2123.987850475154</v>
      </c>
      <c r="AA111" s="8">
        <f>'Model inputs'!AA108+'Model inputs'!AA99</f>
        <v>2198.268214960899</v>
      </c>
      <c r="AB111" s="8">
        <f>'Model inputs'!AB108+'Model inputs'!AB99</f>
        <v>2270.320168512072</v>
      </c>
      <c r="AC111" s="8">
        <f>'Model inputs'!AC108+'Model inputs'!AC99</f>
        <v>2340.21056345671</v>
      </c>
      <c r="AD111" s="8">
        <f>'Model inputs'!AD108+'Model inputs'!AD99</f>
        <v>2408.0042465530087</v>
      </c>
      <c r="AE111" s="8">
        <f>'Model inputs'!AE108+'Model inputs'!AE99</f>
        <v>2473.764119156419</v>
      </c>
      <c r="AF111" s="8">
        <f>'Model inputs'!AF108+'Model inputs'!AF99</f>
        <v>2537.5511955817265</v>
      </c>
      <c r="AG111" s="8">
        <f>'Model inputs'!AG108+'Model inputs'!AG99</f>
        <v>2599.4246597142746</v>
      </c>
      <c r="AH111" s="8">
        <f>'Model inputs'!AH108+'Model inputs'!AH99</f>
        <v>2659.4419199228464</v>
      </c>
      <c r="AI111" s="8">
        <f>'Model inputs'!AI108+'Model inputs'!AI99</f>
        <v>2717.658662325161</v>
      </c>
    </row>
    <row r="112">
      <c r="A112" t="inlineStr" s="22">
        <is>
          <t xml:space="preserve">Founder payroll</t>
        </is>
      </c>
      <c r="K112" s="6">
        <f>SUM('Model inputs'!K113)</f>
        <v>0</v>
      </c>
      <c r="L112" s="6">
        <f>SUM('Model inputs'!L113)</f>
        <v>0</v>
      </c>
      <c r="M112" s="6">
        <f>SUM('Model inputs'!M113)</f>
        <v>0</v>
      </c>
      <c r="N112" s="6">
        <f>SUM('Model inputs'!N113)</f>
        <v>0</v>
      </c>
      <c r="O112" s="6">
        <f>SUM('Model inputs'!O113)</f>
        <v>2000</v>
      </c>
      <c r="P112" s="6">
        <f>SUM('Model inputs'!P113)</f>
        <v>2000</v>
      </c>
      <c r="Q112" s="6">
        <f>SUM('Model inputs'!Q113)</f>
        <v>2000</v>
      </c>
      <c r="R112" s="6">
        <f>SUM('Model inputs'!R113)</f>
        <v>2000</v>
      </c>
      <c r="S112" s="6">
        <f>SUM('Model inputs'!S113)</f>
        <v>2000</v>
      </c>
      <c r="T112" s="6">
        <f>SUM('Model inputs'!T113)</f>
        <v>2000</v>
      </c>
      <c r="U112" s="6">
        <f>SUM('Model inputs'!U113)</f>
        <v>2000</v>
      </c>
      <c r="V112" s="6">
        <f>SUM('Model inputs'!V113)</f>
        <v>2000</v>
      </c>
      <c r="W112" s="6">
        <f>SUM('Model inputs'!W113)</f>
        <v>2000</v>
      </c>
      <c r="X112" s="6">
        <f>SUM('Model inputs'!X113)</f>
        <v>2000</v>
      </c>
      <c r="Y112" s="6">
        <f>SUM('Model inputs'!Y113)</f>
        <v>2000</v>
      </c>
      <c r="Z112" s="6">
        <f>SUM('Model inputs'!Z113)</f>
        <v>2000</v>
      </c>
      <c r="AA112" s="6">
        <f>SUM('Model inputs'!AA113)</f>
        <v>2000</v>
      </c>
      <c r="AB112" s="6">
        <f>SUM('Model inputs'!AB113)</f>
        <v>2000</v>
      </c>
      <c r="AC112" s="6">
        <f>SUM('Model inputs'!AC113)</f>
        <v>2000</v>
      </c>
      <c r="AD112" s="6">
        <f>SUM('Model inputs'!AD113)</f>
        <v>2000</v>
      </c>
      <c r="AE112" s="6">
        <f>SUM('Model inputs'!AE113)</f>
        <v>2000</v>
      </c>
      <c r="AF112" s="6">
        <f>SUM('Model inputs'!AF113)</f>
        <v>2000</v>
      </c>
      <c r="AG112" s="6">
        <f>SUM('Model inputs'!AG113)</f>
        <v>2000</v>
      </c>
      <c r="AH112" s="6">
        <f>SUM('Model inputs'!AH113)</f>
        <v>2000</v>
      </c>
      <c r="AI112" s="6">
        <f>SUM('Model inputs'!AI113)</f>
        <v>2000</v>
      </c>
    </row>
    <row r="113" outlineLevel="1">
      <c r="A113" t="inlineStr" s="23">
        <is>
          <t xml:space="preserve">Founder payroll &gt; Placeholder founder 1</t>
        </is>
      </c>
      <c r="K113" s="9">
        <f>'SwapDesk — Financials · Founder'!B6</f>
        <v>0</v>
      </c>
      <c r="L113" s="9">
        <f>IF(IF(IF(ISERROR(DATE(2026,10,1)&gt;=DATE(YEAR('Model inputs'!B29),MONTH('Model inputs'!B29),1)),DATE(2026,10,1)&gt;=DATE(YEAR('Model inputs'!B29),MONTH('Model inputs'!B29),1),IF(DATE(YEAR('Model inputs'!B29),MONTH('Model inputs'!B29),1)="","",DATE(2026,10,1)&gt;=DATE(YEAR('Model inputs'!B29),MONTH('Model inputs'!B29),1)))="",FALSE,IF(ISERROR(DATE(2026,10,1)&gt;=DATE(YEAR('Model inputs'!B29),MONTH('Model inputs'!B29),1)),DATE(2026,10,1)&gt;=DATE(YEAR('Model inputs'!B29),MONTH('Model inputs'!B29),1),IF(DATE(YEAR('Model inputs'!B29),MONTH('Model inputs'!B29),1)="","",DATE(2026,10,1)&gt;=DATE(YEAR('Model inputs'!B29),MONTH('Model inputs'!B29),1)))),'Model inputs'!B52/12,0)</f>
        <v>0</v>
      </c>
      <c r="M113" s="9">
        <f>IF(IF(IF(ISERROR(DATE(2026,11,1)&gt;=DATE(YEAR('Model inputs'!B29),MONTH('Model inputs'!B29),1)),DATE(2026,11,1)&gt;=DATE(YEAR('Model inputs'!B29),MONTH('Model inputs'!B29),1),IF(DATE(YEAR('Model inputs'!B29),MONTH('Model inputs'!B29),1)="","",DATE(2026,11,1)&gt;=DATE(YEAR('Model inputs'!B29),MONTH('Model inputs'!B29),1)))="",FALSE,IF(ISERROR(DATE(2026,11,1)&gt;=DATE(YEAR('Model inputs'!B29),MONTH('Model inputs'!B29),1)),DATE(2026,11,1)&gt;=DATE(YEAR('Model inputs'!B29),MONTH('Model inputs'!B29),1),IF(DATE(YEAR('Model inputs'!B29),MONTH('Model inputs'!B29),1)="","",DATE(2026,11,1)&gt;=DATE(YEAR('Model inputs'!B29),MONTH('Model inputs'!B29),1)))),'Model inputs'!B52/12,0)</f>
        <v>0</v>
      </c>
      <c r="N113" s="9">
        <f>IF(IF(IF(ISERROR(DATE(2026,12,1)&gt;=DATE(YEAR('Model inputs'!B29),MONTH('Model inputs'!B29),1)),DATE(2026,12,1)&gt;=DATE(YEAR('Model inputs'!B29),MONTH('Model inputs'!B29),1),IF(DATE(YEAR('Model inputs'!B29),MONTH('Model inputs'!B29),1)="","",DATE(2026,12,1)&gt;=DATE(YEAR('Model inputs'!B29),MONTH('Model inputs'!B29),1)))="",FALSE,IF(ISERROR(DATE(2026,12,1)&gt;=DATE(YEAR('Model inputs'!B29),MONTH('Model inputs'!B29),1)),DATE(2026,12,1)&gt;=DATE(YEAR('Model inputs'!B29),MONTH('Model inputs'!B29),1),IF(DATE(YEAR('Model inputs'!B29),MONTH('Model inputs'!B29),1)="","",DATE(2026,12,1)&gt;=DATE(YEAR('Model inputs'!B29),MONTH('Model inputs'!B29),1)))),'Model inputs'!B52/12,0)</f>
        <v>0</v>
      </c>
      <c r="O113" s="9">
        <f>IF(IF(IF(ISERROR(DATE(2027,1,1)&gt;=DATE(YEAR('Model inputs'!B29),MONTH('Model inputs'!B29),1)),DATE(2027,1,1)&gt;=DATE(YEAR('Model inputs'!B29),MONTH('Model inputs'!B29),1),IF(DATE(YEAR('Model inputs'!B29),MONTH('Model inputs'!B29),1)="","",DATE(2027,1,1)&gt;=DATE(YEAR('Model inputs'!B29),MONTH('Model inputs'!B29),1)))="",FALSE,IF(ISERROR(DATE(2027,1,1)&gt;=DATE(YEAR('Model inputs'!B29),MONTH('Model inputs'!B29),1)),DATE(2027,1,1)&gt;=DATE(YEAR('Model inputs'!B29),MONTH('Model inputs'!B29),1),IF(DATE(YEAR('Model inputs'!B29),MONTH('Model inputs'!B29),1)="","",DATE(2027,1,1)&gt;=DATE(YEAR('Model inputs'!B29),MONTH('Model inputs'!B29),1)))),'Model inputs'!B52/12,0)</f>
        <v>2000</v>
      </c>
      <c r="P113" s="9">
        <f>IF(IF(IF(ISERROR(DATE(2027,2,1)&gt;=DATE(YEAR('Model inputs'!B29),MONTH('Model inputs'!B29),1)),DATE(2027,2,1)&gt;=DATE(YEAR('Model inputs'!B29),MONTH('Model inputs'!B29),1),IF(DATE(YEAR('Model inputs'!B29),MONTH('Model inputs'!B29),1)="","",DATE(2027,2,1)&gt;=DATE(YEAR('Model inputs'!B29),MONTH('Model inputs'!B29),1)))="",FALSE,IF(ISERROR(DATE(2027,2,1)&gt;=DATE(YEAR('Model inputs'!B29),MONTH('Model inputs'!B29),1)),DATE(2027,2,1)&gt;=DATE(YEAR('Model inputs'!B29),MONTH('Model inputs'!B29),1),IF(DATE(YEAR('Model inputs'!B29),MONTH('Model inputs'!B29),1)="","",DATE(2027,2,1)&gt;=DATE(YEAR('Model inputs'!B29),MONTH('Model inputs'!B29),1)))),'Model inputs'!B52/12,0)</f>
        <v>2000</v>
      </c>
      <c r="Q113" s="9">
        <f>IF(IF(IF(ISERROR(DATE(2027,3,1)&gt;=DATE(YEAR('Model inputs'!B29),MONTH('Model inputs'!B29),1)),DATE(2027,3,1)&gt;=DATE(YEAR('Model inputs'!B29),MONTH('Model inputs'!B29),1),IF(DATE(YEAR('Model inputs'!B29),MONTH('Model inputs'!B29),1)="","",DATE(2027,3,1)&gt;=DATE(YEAR('Model inputs'!B29),MONTH('Model inputs'!B29),1)))="",FALSE,IF(ISERROR(DATE(2027,3,1)&gt;=DATE(YEAR('Model inputs'!B29),MONTH('Model inputs'!B29),1)),DATE(2027,3,1)&gt;=DATE(YEAR('Model inputs'!B29),MONTH('Model inputs'!B29),1),IF(DATE(YEAR('Model inputs'!B29),MONTH('Model inputs'!B29),1)="","",DATE(2027,3,1)&gt;=DATE(YEAR('Model inputs'!B29),MONTH('Model inputs'!B29),1)))),'Model inputs'!B52/12,0)</f>
        <v>2000</v>
      </c>
      <c r="R113" s="9">
        <f>IF(IF(IF(ISERROR(DATE(2027,4,1)&gt;=DATE(YEAR('Model inputs'!B29),MONTH('Model inputs'!B29),1)),DATE(2027,4,1)&gt;=DATE(YEAR('Model inputs'!B29),MONTH('Model inputs'!B29),1),IF(DATE(YEAR('Model inputs'!B29),MONTH('Model inputs'!B29),1)="","",DATE(2027,4,1)&gt;=DATE(YEAR('Model inputs'!B29),MONTH('Model inputs'!B29),1)))="",FALSE,IF(ISERROR(DATE(2027,4,1)&gt;=DATE(YEAR('Model inputs'!B29),MONTH('Model inputs'!B29),1)),DATE(2027,4,1)&gt;=DATE(YEAR('Model inputs'!B29),MONTH('Model inputs'!B29),1),IF(DATE(YEAR('Model inputs'!B29),MONTH('Model inputs'!B29),1)="","",DATE(2027,4,1)&gt;=DATE(YEAR('Model inputs'!B29),MONTH('Model inputs'!B29),1)))),'Model inputs'!B52/12,0)</f>
        <v>2000</v>
      </c>
      <c r="S113" s="9">
        <f>IF(IF(IF(ISERROR(DATE(2027,5,1)&gt;=DATE(YEAR('Model inputs'!B29),MONTH('Model inputs'!B29),1)),DATE(2027,5,1)&gt;=DATE(YEAR('Model inputs'!B29),MONTH('Model inputs'!B29),1),IF(DATE(YEAR('Model inputs'!B29),MONTH('Model inputs'!B29),1)="","",DATE(2027,5,1)&gt;=DATE(YEAR('Model inputs'!B29),MONTH('Model inputs'!B29),1)))="",FALSE,IF(ISERROR(DATE(2027,5,1)&gt;=DATE(YEAR('Model inputs'!B29),MONTH('Model inputs'!B29),1)),DATE(2027,5,1)&gt;=DATE(YEAR('Model inputs'!B29),MONTH('Model inputs'!B29),1),IF(DATE(YEAR('Model inputs'!B29),MONTH('Model inputs'!B29),1)="","",DATE(2027,5,1)&gt;=DATE(YEAR('Model inputs'!B29),MONTH('Model inputs'!B29),1)))),'Model inputs'!B52/12,0)</f>
        <v>2000</v>
      </c>
      <c r="T113" s="9">
        <f>IF(IF(IF(ISERROR(DATE(2027,6,1)&gt;=DATE(YEAR('Model inputs'!B29),MONTH('Model inputs'!B29),1)),DATE(2027,6,1)&gt;=DATE(YEAR('Model inputs'!B29),MONTH('Model inputs'!B29),1),IF(DATE(YEAR('Model inputs'!B29),MONTH('Model inputs'!B29),1)="","",DATE(2027,6,1)&gt;=DATE(YEAR('Model inputs'!B29),MONTH('Model inputs'!B29),1)))="",FALSE,IF(ISERROR(DATE(2027,6,1)&gt;=DATE(YEAR('Model inputs'!B29),MONTH('Model inputs'!B29),1)),DATE(2027,6,1)&gt;=DATE(YEAR('Model inputs'!B29),MONTH('Model inputs'!B29),1),IF(DATE(YEAR('Model inputs'!B29),MONTH('Model inputs'!B29),1)="","",DATE(2027,6,1)&gt;=DATE(YEAR('Model inputs'!B29),MONTH('Model inputs'!B29),1)))),'Model inputs'!B52/12,0)</f>
        <v>2000</v>
      </c>
      <c r="U113" s="9">
        <f>IF(IF(IF(ISERROR(DATE(2027,7,1)&gt;=DATE(YEAR('Model inputs'!B29),MONTH('Model inputs'!B29),1)),DATE(2027,7,1)&gt;=DATE(YEAR('Model inputs'!B29),MONTH('Model inputs'!B29),1),IF(DATE(YEAR('Model inputs'!B29),MONTH('Model inputs'!B29),1)="","",DATE(2027,7,1)&gt;=DATE(YEAR('Model inputs'!B29),MONTH('Model inputs'!B29),1)))="",FALSE,IF(ISERROR(DATE(2027,7,1)&gt;=DATE(YEAR('Model inputs'!B29),MONTH('Model inputs'!B29),1)),DATE(2027,7,1)&gt;=DATE(YEAR('Model inputs'!B29),MONTH('Model inputs'!B29),1),IF(DATE(YEAR('Model inputs'!B29),MONTH('Model inputs'!B29),1)="","",DATE(2027,7,1)&gt;=DATE(YEAR('Model inputs'!B29),MONTH('Model inputs'!B29),1)))),'Model inputs'!B52/12,0)</f>
        <v>2000</v>
      </c>
      <c r="V113" s="9">
        <f>IF(IF(IF(ISERROR(DATE(2027,8,1)&gt;=DATE(YEAR('Model inputs'!B29),MONTH('Model inputs'!B29),1)),DATE(2027,8,1)&gt;=DATE(YEAR('Model inputs'!B29),MONTH('Model inputs'!B29),1),IF(DATE(YEAR('Model inputs'!B29),MONTH('Model inputs'!B29),1)="","",DATE(2027,8,1)&gt;=DATE(YEAR('Model inputs'!B29),MONTH('Model inputs'!B29),1)))="",FALSE,IF(ISERROR(DATE(2027,8,1)&gt;=DATE(YEAR('Model inputs'!B29),MONTH('Model inputs'!B29),1)),DATE(2027,8,1)&gt;=DATE(YEAR('Model inputs'!B29),MONTH('Model inputs'!B29),1),IF(DATE(YEAR('Model inputs'!B29),MONTH('Model inputs'!B29),1)="","",DATE(2027,8,1)&gt;=DATE(YEAR('Model inputs'!B29),MONTH('Model inputs'!B29),1)))),'Model inputs'!B52/12,0)</f>
        <v>2000</v>
      </c>
      <c r="W113" s="9">
        <f>IF(IF(IF(ISERROR(DATE(2027,9,1)&gt;=DATE(YEAR('Model inputs'!B29),MONTH('Model inputs'!B29),1)),DATE(2027,9,1)&gt;=DATE(YEAR('Model inputs'!B29),MONTH('Model inputs'!B29),1),IF(DATE(YEAR('Model inputs'!B29),MONTH('Model inputs'!B29),1)="","",DATE(2027,9,1)&gt;=DATE(YEAR('Model inputs'!B29),MONTH('Model inputs'!B29),1)))="",FALSE,IF(ISERROR(DATE(2027,9,1)&gt;=DATE(YEAR('Model inputs'!B29),MONTH('Model inputs'!B29),1)),DATE(2027,9,1)&gt;=DATE(YEAR('Model inputs'!B29),MONTH('Model inputs'!B29),1),IF(DATE(YEAR('Model inputs'!B29),MONTH('Model inputs'!B29),1)="","",DATE(2027,9,1)&gt;=DATE(YEAR('Model inputs'!B29),MONTH('Model inputs'!B29),1)))),'Model inputs'!B52/12,0)</f>
        <v>2000</v>
      </c>
      <c r="X113" s="9">
        <f>IF(IF(IF(ISERROR(DATE(2027,10,1)&gt;=DATE(YEAR('Model inputs'!B29),MONTH('Model inputs'!B29),1)),DATE(2027,10,1)&gt;=DATE(YEAR('Model inputs'!B29),MONTH('Model inputs'!B29),1),IF(DATE(YEAR('Model inputs'!B29),MONTH('Model inputs'!B29),1)="","",DATE(2027,10,1)&gt;=DATE(YEAR('Model inputs'!B29),MONTH('Model inputs'!B29),1)))="",FALSE,IF(ISERROR(DATE(2027,10,1)&gt;=DATE(YEAR('Model inputs'!B29),MONTH('Model inputs'!B29),1)),DATE(2027,10,1)&gt;=DATE(YEAR('Model inputs'!B29),MONTH('Model inputs'!B29),1),IF(DATE(YEAR('Model inputs'!B29),MONTH('Model inputs'!B29),1)="","",DATE(2027,10,1)&gt;=DATE(YEAR('Model inputs'!B29),MONTH('Model inputs'!B29),1)))),'Model inputs'!B52/12,0)</f>
        <v>2000</v>
      </c>
      <c r="Y113" s="9">
        <f>IF(IF(IF(ISERROR(DATE(2027,11,1)&gt;=DATE(YEAR('Model inputs'!B29),MONTH('Model inputs'!B29),1)),DATE(2027,11,1)&gt;=DATE(YEAR('Model inputs'!B29),MONTH('Model inputs'!B29),1),IF(DATE(YEAR('Model inputs'!B29),MONTH('Model inputs'!B29),1)="","",DATE(2027,11,1)&gt;=DATE(YEAR('Model inputs'!B29),MONTH('Model inputs'!B29),1)))="",FALSE,IF(ISERROR(DATE(2027,11,1)&gt;=DATE(YEAR('Model inputs'!B29),MONTH('Model inputs'!B29),1)),DATE(2027,11,1)&gt;=DATE(YEAR('Model inputs'!B29),MONTH('Model inputs'!B29),1),IF(DATE(YEAR('Model inputs'!B29),MONTH('Model inputs'!B29),1)="","",DATE(2027,11,1)&gt;=DATE(YEAR('Model inputs'!B29),MONTH('Model inputs'!B29),1)))),'Model inputs'!B52/12,0)</f>
        <v>2000</v>
      </c>
      <c r="Z113" s="9">
        <f>IF(IF(IF(ISERROR(DATE(2027,12,1)&gt;=DATE(YEAR('Model inputs'!B29),MONTH('Model inputs'!B29),1)),DATE(2027,12,1)&gt;=DATE(YEAR('Model inputs'!B29),MONTH('Model inputs'!B29),1),IF(DATE(YEAR('Model inputs'!B29),MONTH('Model inputs'!B29),1)="","",DATE(2027,12,1)&gt;=DATE(YEAR('Model inputs'!B29),MONTH('Model inputs'!B29),1)))="",FALSE,IF(ISERROR(DATE(2027,12,1)&gt;=DATE(YEAR('Model inputs'!B29),MONTH('Model inputs'!B29),1)),DATE(2027,12,1)&gt;=DATE(YEAR('Model inputs'!B29),MONTH('Model inputs'!B29),1),IF(DATE(YEAR('Model inputs'!B29),MONTH('Model inputs'!B29),1)="","",DATE(2027,12,1)&gt;=DATE(YEAR('Model inputs'!B29),MONTH('Model inputs'!B29),1)))),'Model inputs'!B52/12,0)</f>
        <v>2000</v>
      </c>
      <c r="AA113" s="9">
        <f>IF(IF(IF(ISERROR(DATE(2028,1,1)&gt;=DATE(YEAR('Model inputs'!B29),MONTH('Model inputs'!B29),1)),DATE(2028,1,1)&gt;=DATE(YEAR('Model inputs'!B29),MONTH('Model inputs'!B29),1),IF(DATE(YEAR('Model inputs'!B29),MONTH('Model inputs'!B29),1)="","",DATE(2028,1,1)&gt;=DATE(YEAR('Model inputs'!B29),MONTH('Model inputs'!B29),1)))="",FALSE,IF(ISERROR(DATE(2028,1,1)&gt;=DATE(YEAR('Model inputs'!B29),MONTH('Model inputs'!B29),1)),DATE(2028,1,1)&gt;=DATE(YEAR('Model inputs'!B29),MONTH('Model inputs'!B29),1),IF(DATE(YEAR('Model inputs'!B29),MONTH('Model inputs'!B29),1)="","",DATE(2028,1,1)&gt;=DATE(YEAR('Model inputs'!B29),MONTH('Model inputs'!B29),1)))),'Model inputs'!B52/12,0)</f>
        <v>2000</v>
      </c>
      <c r="AB113" s="9">
        <f>IF(IF(IF(ISERROR(DATE(2028,2,1)&gt;=DATE(YEAR('Model inputs'!B29),MONTH('Model inputs'!B29),1)),DATE(2028,2,1)&gt;=DATE(YEAR('Model inputs'!B29),MONTH('Model inputs'!B29),1),IF(DATE(YEAR('Model inputs'!B29),MONTH('Model inputs'!B29),1)="","",DATE(2028,2,1)&gt;=DATE(YEAR('Model inputs'!B29),MONTH('Model inputs'!B29),1)))="",FALSE,IF(ISERROR(DATE(2028,2,1)&gt;=DATE(YEAR('Model inputs'!B29),MONTH('Model inputs'!B29),1)),DATE(2028,2,1)&gt;=DATE(YEAR('Model inputs'!B29),MONTH('Model inputs'!B29),1),IF(DATE(YEAR('Model inputs'!B29),MONTH('Model inputs'!B29),1)="","",DATE(2028,2,1)&gt;=DATE(YEAR('Model inputs'!B29),MONTH('Model inputs'!B29),1)))),'Model inputs'!B52/12,0)</f>
        <v>2000</v>
      </c>
      <c r="AC113" s="9">
        <f>IF(IF(IF(ISERROR(DATE(2028,3,1)&gt;=DATE(YEAR('Model inputs'!B29),MONTH('Model inputs'!B29),1)),DATE(2028,3,1)&gt;=DATE(YEAR('Model inputs'!B29),MONTH('Model inputs'!B29),1),IF(DATE(YEAR('Model inputs'!B29),MONTH('Model inputs'!B29),1)="","",DATE(2028,3,1)&gt;=DATE(YEAR('Model inputs'!B29),MONTH('Model inputs'!B29),1)))="",FALSE,IF(ISERROR(DATE(2028,3,1)&gt;=DATE(YEAR('Model inputs'!B29),MONTH('Model inputs'!B29),1)),DATE(2028,3,1)&gt;=DATE(YEAR('Model inputs'!B29),MONTH('Model inputs'!B29),1),IF(DATE(YEAR('Model inputs'!B29),MONTH('Model inputs'!B29),1)="","",DATE(2028,3,1)&gt;=DATE(YEAR('Model inputs'!B29),MONTH('Model inputs'!B29),1)))),'Model inputs'!B52/12,0)</f>
        <v>2000</v>
      </c>
      <c r="AD113" s="9">
        <f>IF(IF(IF(ISERROR(DATE(2028,4,1)&gt;=DATE(YEAR('Model inputs'!B29),MONTH('Model inputs'!B29),1)),DATE(2028,4,1)&gt;=DATE(YEAR('Model inputs'!B29),MONTH('Model inputs'!B29),1),IF(DATE(YEAR('Model inputs'!B29),MONTH('Model inputs'!B29),1)="","",DATE(2028,4,1)&gt;=DATE(YEAR('Model inputs'!B29),MONTH('Model inputs'!B29),1)))="",FALSE,IF(ISERROR(DATE(2028,4,1)&gt;=DATE(YEAR('Model inputs'!B29),MONTH('Model inputs'!B29),1)),DATE(2028,4,1)&gt;=DATE(YEAR('Model inputs'!B29),MONTH('Model inputs'!B29),1),IF(DATE(YEAR('Model inputs'!B29),MONTH('Model inputs'!B29),1)="","",DATE(2028,4,1)&gt;=DATE(YEAR('Model inputs'!B29),MONTH('Model inputs'!B29),1)))),'Model inputs'!B52/12,0)</f>
        <v>2000</v>
      </c>
      <c r="AE113" s="9">
        <f>IF(IF(IF(ISERROR(DATE(2028,5,1)&gt;=DATE(YEAR('Model inputs'!B29),MONTH('Model inputs'!B29),1)),DATE(2028,5,1)&gt;=DATE(YEAR('Model inputs'!B29),MONTH('Model inputs'!B29),1),IF(DATE(YEAR('Model inputs'!B29),MONTH('Model inputs'!B29),1)="","",DATE(2028,5,1)&gt;=DATE(YEAR('Model inputs'!B29),MONTH('Model inputs'!B29),1)))="",FALSE,IF(ISERROR(DATE(2028,5,1)&gt;=DATE(YEAR('Model inputs'!B29),MONTH('Model inputs'!B29),1)),DATE(2028,5,1)&gt;=DATE(YEAR('Model inputs'!B29),MONTH('Model inputs'!B29),1),IF(DATE(YEAR('Model inputs'!B29),MONTH('Model inputs'!B29),1)="","",DATE(2028,5,1)&gt;=DATE(YEAR('Model inputs'!B29),MONTH('Model inputs'!B29),1)))),'Model inputs'!B52/12,0)</f>
        <v>2000</v>
      </c>
      <c r="AF113" s="9">
        <f>IF(IF(IF(ISERROR(DATE(2028,6,1)&gt;=DATE(YEAR('Model inputs'!B29),MONTH('Model inputs'!B29),1)),DATE(2028,6,1)&gt;=DATE(YEAR('Model inputs'!B29),MONTH('Model inputs'!B29),1),IF(DATE(YEAR('Model inputs'!B29),MONTH('Model inputs'!B29),1)="","",DATE(2028,6,1)&gt;=DATE(YEAR('Model inputs'!B29),MONTH('Model inputs'!B29),1)))="",FALSE,IF(ISERROR(DATE(2028,6,1)&gt;=DATE(YEAR('Model inputs'!B29),MONTH('Model inputs'!B29),1)),DATE(2028,6,1)&gt;=DATE(YEAR('Model inputs'!B29),MONTH('Model inputs'!B29),1),IF(DATE(YEAR('Model inputs'!B29),MONTH('Model inputs'!B29),1)="","",DATE(2028,6,1)&gt;=DATE(YEAR('Model inputs'!B29),MONTH('Model inputs'!B29),1)))),'Model inputs'!B52/12,0)</f>
        <v>2000</v>
      </c>
      <c r="AG113" s="9">
        <f>IF(IF(IF(ISERROR(DATE(2028,7,1)&gt;=DATE(YEAR('Model inputs'!B29),MONTH('Model inputs'!B29),1)),DATE(2028,7,1)&gt;=DATE(YEAR('Model inputs'!B29),MONTH('Model inputs'!B29),1),IF(DATE(YEAR('Model inputs'!B29),MONTH('Model inputs'!B29),1)="","",DATE(2028,7,1)&gt;=DATE(YEAR('Model inputs'!B29),MONTH('Model inputs'!B29),1)))="",FALSE,IF(ISERROR(DATE(2028,7,1)&gt;=DATE(YEAR('Model inputs'!B29),MONTH('Model inputs'!B29),1)),DATE(2028,7,1)&gt;=DATE(YEAR('Model inputs'!B29),MONTH('Model inputs'!B29),1),IF(DATE(YEAR('Model inputs'!B29),MONTH('Model inputs'!B29),1)="","",DATE(2028,7,1)&gt;=DATE(YEAR('Model inputs'!B29),MONTH('Model inputs'!B29),1)))),'Model inputs'!B52/12,0)</f>
        <v>2000</v>
      </c>
      <c r="AH113" s="9">
        <f>IF(IF(IF(ISERROR(DATE(2028,8,1)&gt;=DATE(YEAR('Model inputs'!B29),MONTH('Model inputs'!B29),1)),DATE(2028,8,1)&gt;=DATE(YEAR('Model inputs'!B29),MONTH('Model inputs'!B29),1),IF(DATE(YEAR('Model inputs'!B29),MONTH('Model inputs'!B29),1)="","",DATE(2028,8,1)&gt;=DATE(YEAR('Model inputs'!B29),MONTH('Model inputs'!B29),1)))="",FALSE,IF(ISERROR(DATE(2028,8,1)&gt;=DATE(YEAR('Model inputs'!B29),MONTH('Model inputs'!B29),1)),DATE(2028,8,1)&gt;=DATE(YEAR('Model inputs'!B29),MONTH('Model inputs'!B29),1),IF(DATE(YEAR('Model inputs'!B29),MONTH('Model inputs'!B29),1)="","",DATE(2028,8,1)&gt;=DATE(YEAR('Model inputs'!B29),MONTH('Model inputs'!B29),1)))),'Model inputs'!B52/12,0)</f>
        <v>2000</v>
      </c>
      <c r="AI113" s="9">
        <f>IF(IF(IF(ISERROR(DATE(2028,9,1)&gt;=DATE(YEAR('Model inputs'!B29),MONTH('Model inputs'!B29),1)),DATE(2028,9,1)&gt;=DATE(YEAR('Model inputs'!B29),MONTH('Model inputs'!B29),1),IF(DATE(YEAR('Model inputs'!B29),MONTH('Model inputs'!B29),1)="","",DATE(2028,9,1)&gt;=DATE(YEAR('Model inputs'!B29),MONTH('Model inputs'!B29),1)))="",FALSE,IF(ISERROR(DATE(2028,9,1)&gt;=DATE(YEAR('Model inputs'!B29),MONTH('Model inputs'!B29),1)),DATE(2028,9,1)&gt;=DATE(YEAR('Model inputs'!B29),MONTH('Model inputs'!B29),1),IF(DATE(YEAR('Model inputs'!B29),MONTH('Model inputs'!B29),1)="","",DATE(2028,9,1)&gt;=DATE(YEAR('Model inputs'!B29),MONTH('Model inputs'!B29),1)))),'Model inputs'!B52/12,0)</f>
        <v>2000</v>
      </c>
    </row>
    <row r="114">
      <c r="A114" t="inlineStr" s="22">
        <is>
          <t xml:space="preserve">Inference cost</t>
        </is>
      </c>
      <c r="K114" s="6">
        <f>SUM('Model inputs'!K115,'Model inputs'!K116)</f>
        <v>0</v>
      </c>
      <c r="L114" s="6">
        <f>SUM('Model inputs'!L115,'Model inputs'!L116)</f>
        <v>58.16699999999999</v>
      </c>
      <c r="M114" s="6">
        <f>SUM('Model inputs'!M115,'Model inputs'!M116)</f>
        <v>67.80147</v>
      </c>
      <c r="N114" s="6">
        <f>SUM('Model inputs'!N115,'Model inputs'!N116)</f>
        <v>77.2091163</v>
      </c>
      <c r="O114" s="6">
        <f>SUM('Model inputs'!O115,'Model inputs'!O116)</f>
        <v>86.395499403</v>
      </c>
      <c r="P114" s="6">
        <f>SUM('Model inputs'!P115,'Model inputs'!P116)</f>
        <v>95.36603788106999</v>
      </c>
      <c r="Q114" s="6">
        <f>SUM('Model inputs'!Q115,'Model inputs'!Q116)</f>
        <v>104.12601213559469</v>
      </c>
      <c r="R114" s="6">
        <f>SUM('Model inputs'!R115,'Model inputs'!R116)</f>
        <v>112.68056805466452</v>
      </c>
      <c r="S114" s="6">
        <f>SUM('Model inputs'!S115,'Model inputs'!S116)</f>
        <v>121.03472057049949</v>
      </c>
      <c r="T114" s="6">
        <f>SUM('Model inputs'!T115,'Model inputs'!T116)</f>
        <v>129.1933571197099</v>
      </c>
      <c r="U114" s="6">
        <f>SUM('Model inputs'!U115,'Model inputs'!U116)</f>
        <v>137.16124100911753</v>
      </c>
      <c r="V114" s="6">
        <f>SUM('Model inputs'!V115,'Model inputs'!V116)</f>
        <v>144.94301468978296</v>
      </c>
      <c r="W114" s="6">
        <f>SUM('Model inputs'!W115,'Model inputs'!W116)</f>
        <v>152.5432029418096</v>
      </c>
      <c r="X114" s="6">
        <f>SUM('Model inputs'!X115,'Model inputs'!X116)</f>
        <v>159.96621597242105</v>
      </c>
      <c r="Y114" s="6">
        <f>SUM('Model inputs'!Y115,'Model inputs'!Y116)</f>
        <v>167.21635242973684</v>
      </c>
      <c r="Z114" s="6">
        <f>SUM('Model inputs'!Z115,'Model inputs'!Z116)</f>
        <v>174.2978023346034</v>
      </c>
      <c r="AA114" s="6">
        <f>SUM('Model inputs'!AA115,'Model inputs'!AA116)</f>
        <v>181.21464993276876</v>
      </c>
      <c r="AB114" s="6">
        <f>SUM('Model inputs'!AB115,'Model inputs'!AB116)</f>
        <v>187.97087646962513</v>
      </c>
      <c r="AC114" s="6">
        <f>SUM('Model inputs'!AC115,'Model inputs'!AC116)</f>
        <v>194.57036288967902</v>
      </c>
      <c r="AD114" s="6">
        <f>SUM('Model inputs'!AD115,'Model inputs'!AD116)</f>
        <v>201.01689246284843</v>
      </c>
      <c r="AE114" s="6">
        <f>SUM('Model inputs'!AE115,'Model inputs'!AE116)</f>
        <v>207.3141533396256</v>
      </c>
      <c r="AF114" s="6">
        <f>SUM('Model inputs'!AF115,'Model inputs'!AF116)</f>
        <v>213.46574103708613</v>
      </c>
      <c r="AG114" s="6">
        <f>SUM('Model inputs'!AG115,'Model inputs'!AG116)</f>
        <v>219.47516085766986</v>
      </c>
      <c r="AH114" s="6">
        <f>SUM('Model inputs'!AH115,'Model inputs'!AH116)</f>
        <v>225.34583024260218</v>
      </c>
      <c r="AI114" s="6">
        <f>SUM('Model inputs'!AI115,'Model inputs'!AI116)</f>
        <v>231.08108106177332</v>
      </c>
    </row>
    <row r="115" outlineLevel="1">
      <c r="A115" t="inlineStr" s="23">
        <is>
          <t xml:space="preserve">Inference cost &gt; Growing shop</t>
        </is>
      </c>
      <c r="K115" s="9">
        <f>'SwapDesk — Operations · Merchan'!B42</f>
        <v>0</v>
      </c>
      <c r="L115" s="9">
        <f>'Model inputs'!L110*'Model inputs'!B12</f>
        <v>33.94799999999999</v>
      </c>
      <c r="M115" s="9">
        <f>'Model inputs'!M110*'Model inputs'!B12</f>
        <v>40.169039999999995</v>
      </c>
      <c r="N115" s="9">
        <f>'Model inputs'!N110*'Model inputs'!B12</f>
        <v>46.26565920000001</v>
      </c>
      <c r="O115" s="9">
        <f>'Model inputs'!O110*'Model inputs'!B12</f>
        <v>52.240346016000004</v>
      </c>
      <c r="P115" s="9">
        <f>'Model inputs'!P110*'Model inputs'!B12</f>
        <v>58.09553909567999</v>
      </c>
      <c r="Q115" s="9">
        <f>'Model inputs'!Q110*'Model inputs'!B12</f>
        <v>63.83362831376638</v>
      </c>
      <c r="R115" s="9">
        <f>'Model inputs'!R110*'Model inputs'!B12</f>
        <v>69.45695574749107</v>
      </c>
      <c r="S115" s="9">
        <f>'Model inputs'!S110*'Model inputs'!B12</f>
        <v>74.96781663254124</v>
      </c>
      <c r="T115" s="9">
        <f>'Model inputs'!T110*'Model inputs'!B12</f>
        <v>80.36846029989042</v>
      </c>
      <c r="U115" s="9">
        <f>'Model inputs'!U110*'Model inputs'!B12</f>
        <v>85.66109109389262</v>
      </c>
      <c r="V115" s="9">
        <f>'Model inputs'!V110*'Model inputs'!B12</f>
        <v>90.84786927201478</v>
      </c>
      <c r="W115" s="9">
        <f>'Model inputs'!W110*'Model inputs'!B12</f>
        <v>95.93091188657446</v>
      </c>
      <c r="X115" s="9">
        <f>'Model inputs'!X110*'Model inputs'!B12</f>
        <v>100.91229364884298</v>
      </c>
      <c r="Y115" s="9">
        <f>'Model inputs'!Y110*'Model inputs'!B12</f>
        <v>105.79404777586612</v>
      </c>
      <c r="Z115" s="9">
        <f>'Model inputs'!Z110*'Model inputs'!B12</f>
        <v>110.57816682034878</v>
      </c>
      <c r="AA115" s="9">
        <f>'Model inputs'!AA110*'Model inputs'!B12</f>
        <v>115.2666034839418</v>
      </c>
      <c r="AB115" s="9">
        <f>'Model inputs'!AB110*'Model inputs'!B12</f>
        <v>119.86127141426297</v>
      </c>
      <c r="AC115" s="9">
        <f>'Model inputs'!AC110*'Model inputs'!B12</f>
        <v>124.36404598597773</v>
      </c>
      <c r="AD115" s="9">
        <f>'Model inputs'!AD110*'Model inputs'!B12</f>
        <v>128.77676506625818</v>
      </c>
      <c r="AE115" s="9">
        <f>'Model inputs'!AE110*'Model inputs'!B12</f>
        <v>133.10122976493304</v>
      </c>
      <c r="AF115" s="9">
        <f>'Model inputs'!AF110*'Model inputs'!B12</f>
        <v>137.33920516963434</v>
      </c>
      <c r="AG115" s="9">
        <f>'Model inputs'!AG110*'Model inputs'!B12</f>
        <v>141.49242106624163</v>
      </c>
      <c r="AH115" s="9">
        <f>'Model inputs'!AH110*'Model inputs'!B12</f>
        <v>145.5625726449168</v>
      </c>
      <c r="AI115" s="9">
        <f>'Model inputs'!AI110*'Model inputs'!B12</f>
        <v>149.5513211920185</v>
      </c>
    </row>
    <row r="116" outlineLevel="1">
      <c r="A116" t="inlineStr" s="23">
        <is>
          <t xml:space="preserve">Inference cost &gt; Small shop</t>
        </is>
      </c>
      <c r="K116" s="9">
        <f>'SwapDesk — Operations · Merchan'!B43</f>
        <v>0</v>
      </c>
      <c r="L116" s="9">
        <f>'Model inputs'!L111*'Model inputs'!B12</f>
        <v>24.218999999999998</v>
      </c>
      <c r="M116" s="9">
        <f>'Model inputs'!M111*'Model inputs'!B12</f>
        <v>27.63243</v>
      </c>
      <c r="N116" s="9">
        <f>'Model inputs'!N111*'Model inputs'!B12</f>
        <v>30.9434571</v>
      </c>
      <c r="O116" s="9">
        <f>'Model inputs'!O111*'Model inputs'!B12</f>
        <v>34.15515338699999</v>
      </c>
      <c r="P116" s="9">
        <f>'Model inputs'!P111*'Model inputs'!B12</f>
        <v>37.27049878539</v>
      </c>
      <c r="Q116" s="9">
        <f>'Model inputs'!Q111*'Model inputs'!B12</f>
        <v>40.2923838218283</v>
      </c>
      <c r="R116" s="9">
        <f>'Model inputs'!R111*'Model inputs'!B12</f>
        <v>43.223612307173454</v>
      </c>
      <c r="S116" s="9">
        <f>'Model inputs'!S111*'Model inputs'!B12</f>
        <v>46.066903937958244</v>
      </c>
      <c r="T116" s="9">
        <f>'Model inputs'!T111*'Model inputs'!B12</f>
        <v>48.8248968198195</v>
      </c>
      <c r="U116" s="9">
        <f>'Model inputs'!U111*'Model inputs'!B12</f>
        <v>51.50014991522492</v>
      </c>
      <c r="V116" s="9">
        <f>'Model inputs'!V111*'Model inputs'!B12</f>
        <v>54.09514541776817</v>
      </c>
      <c r="W116" s="9">
        <f>'Model inputs'!W111*'Model inputs'!B12</f>
        <v>56.61229105523513</v>
      </c>
      <c r="X116" s="9">
        <f>'Model inputs'!X111*'Model inputs'!B12</f>
        <v>59.05392232357807</v>
      </c>
      <c r="Y116" s="9">
        <f>'Model inputs'!Y111*'Model inputs'!B12</f>
        <v>61.42230465387073</v>
      </c>
      <c r="Z116" s="9">
        <f>'Model inputs'!Z111*'Model inputs'!B12</f>
        <v>63.71963551425462</v>
      </c>
      <c r="AA116" s="9">
        <f>'Model inputs'!AA111*'Model inputs'!B12</f>
        <v>65.94804644882697</v>
      </c>
      <c r="AB116" s="9">
        <f>'Model inputs'!AB111*'Model inputs'!B12</f>
        <v>68.10960505536217</v>
      </c>
      <c r="AC116" s="9">
        <f>'Model inputs'!AC111*'Model inputs'!B12</f>
        <v>70.2063169037013</v>
      </c>
      <c r="AD116" s="9">
        <f>'Model inputs'!AD111*'Model inputs'!B12</f>
        <v>72.24012739659025</v>
      </c>
      <c r="AE116" s="9">
        <f>'Model inputs'!AE111*'Model inputs'!B12</f>
        <v>74.21292357469257</v>
      </c>
      <c r="AF116" s="9">
        <f>'Model inputs'!AF111*'Model inputs'!B12</f>
        <v>76.12653586745179</v>
      </c>
      <c r="AG116" s="9">
        <f>'Model inputs'!AG111*'Model inputs'!B12</f>
        <v>77.98273979142823</v>
      </c>
      <c r="AH116" s="9">
        <f>'Model inputs'!AH111*'Model inputs'!B12</f>
        <v>79.78325759768539</v>
      </c>
      <c r="AI116" s="9">
        <f>'Model inputs'!AI111*'Model inputs'!B12</f>
        <v>81.52975986975483</v>
      </c>
    </row>
    <row r="117">
      <c r="A117" t="inlineStr" s="22">
        <is>
          <t xml:space="preserve">Cost of service · Bad Reliability</t>
        </is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f>'Model inputs'!L159+'Model inputs'!L161+'Model inputs'!L163+'Model inputs'!L155</f>
        <v>293.262</v>
      </c>
      <c r="M117" s="9">
        <f>'Model inputs'!M159+'Model inputs'!M161+'Model inputs'!M163+'Model inputs'!M155</f>
        <v>323.11108</v>
      </c>
      <c r="N117" s="9">
        <f>'Model inputs'!N159+'Model inputs'!N161+'Model inputs'!N163+'Model inputs'!N155</f>
        <v>351.3409752</v>
      </c>
      <c r="O117" s="9">
        <f>'Model inputs'!O159+'Model inputs'!O161+'Model inputs'!O163+'Model inputs'!O155</f>
        <v>378.040248688</v>
      </c>
      <c r="P117" s="9">
        <f>'Model inputs'!P159+'Model inputs'!P161+'Model inputs'!P163+'Model inputs'!P155</f>
        <v>403.29257916672003</v>
      </c>
      <c r="Q117" s="9">
        <f>'Model inputs'!Q159+'Model inputs'!Q161+'Model inputs'!Q163+'Model inputs'!Q155</f>
        <v>427.17703254671676</v>
      </c>
      <c r="R117" s="9">
        <f>'Model inputs'!R159+'Model inputs'!R161+'Model inputs'!R163+'Model inputs'!R155</f>
        <v>449.76831831741373</v>
      </c>
      <c r="S117" s="9">
        <f>'Model inputs'!S159+'Model inputs'!S161+'Model inputs'!S163+'Model inputs'!S155</f>
        <v>471.1370315556939</v>
      </c>
      <c r="T117" s="9">
        <f>'Model inputs'!T159+'Model inputs'!T161+'Model inputs'!T163+'Model inputs'!T155</f>
        <v>491.349881382811</v>
      </c>
      <c r="U117" s="9">
        <f>'Model inputs'!U159+'Model inputs'!U161+'Model inputs'!U163+'Model inputs'!U155</f>
        <v>510.4699066342782</v>
      </c>
      <c r="V117" s="9">
        <f>'Model inputs'!V159+'Model inputs'!V161+'Model inputs'!V163+'Model inputs'!V155</f>
        <v>528.5566794639356</v>
      </c>
      <c r="W117" s="9">
        <f>'Model inputs'!W159+'Model inputs'!W161+'Model inputs'!W163+'Model inputs'!W155</f>
        <v>545.6664975624276</v>
      </c>
      <c r="X117" s="9">
        <f>'Model inputs'!X159+'Model inputs'!X161+'Model inputs'!X163+'Model inputs'!X155</f>
        <v>561.852565631694</v>
      </c>
      <c r="Y117" s="9">
        <f>'Model inputs'!Y159+'Model inputs'!Y161+'Model inputs'!Y163+'Model inputs'!Y155</f>
        <v>577.1651667206536</v>
      </c>
      <c r="Z117" s="9">
        <f>'Model inputs'!Z159+'Model inputs'!Z161+'Model inputs'!Z163+'Model inputs'!Z155</f>
        <v>591.6518239929327</v>
      </c>
      <c r="AA117" s="9">
        <f>'Model inputs'!AA159+'Model inputs'!AA161+'Model inputs'!AA163+'Model inputs'!AA155</f>
        <v>605.3574534650991</v>
      </c>
      <c r="AB117" s="9">
        <f>'Model inputs'!AB159+'Model inputs'!AB161+'Model inputs'!AB163+'Model inputs'!AB155</f>
        <v>618.3245082233484</v>
      </c>
      <c r="AC117" s="9">
        <f>'Model inputs'!AC159+'Model inputs'!AC161+'Model inputs'!AC163+'Model inputs'!AC155</f>
        <v>630.5931145977949</v>
      </c>
      <c r="AD117" s="9">
        <f>'Model inputs'!AD159+'Model inputs'!AD161+'Model inputs'!AD163+'Model inputs'!AD155</f>
        <v>642.2012007463823</v>
      </c>
      <c r="AE117" s="9">
        <f>'Model inputs'!AE159+'Model inputs'!AE161+'Model inputs'!AE163+'Model inputs'!AE155</f>
        <v>653.1846180748316</v>
      </c>
      <c r="AF117" s="9">
        <f>'Model inputs'!AF159+'Model inputs'!AF161+'Model inputs'!AF163+'Model inputs'!AF155</f>
        <v>663.5772558949125</v>
      </c>
      <c r="AG117" s="9">
        <f>'Model inputs'!AG159+'Model inputs'!AG161+'Model inputs'!AG163+'Model inputs'!AG155</f>
        <v>673.4111497005599</v>
      </c>
      <c r="AH117" s="9">
        <f>'Model inputs'!AH159+'Model inputs'!AH161+'Model inputs'!AH163+'Model inputs'!AH155</f>
        <v>682.7165834199013</v>
      </c>
      <c r="AI117" s="9">
        <f>'Model inputs'!AI159+'Model inputs'!AI161+'Model inputs'!AI163+'Model inputs'!AI155</f>
        <v>691.5221859810138</v>
      </c>
    </row>
    <row r="118">
      <c r="A118" t="inlineStr" s="22">
        <is>
          <t xml:space="preserve">Cost of service · Growth</t>
        </is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f>'Model inputs'!L160+'Model inputs'!L162+'Model inputs'!L164+'Model inputs'!L156</f>
        <v>256.20799999999997</v>
      </c>
      <c r="M118" s="9">
        <f>'Model inputs'!M160+'Model inputs'!M162+'Model inputs'!M164+'Model inputs'!M156</f>
        <v>326.727085</v>
      </c>
      <c r="N118" s="9">
        <f>'Model inputs'!N160+'Model inputs'!N162+'Model inputs'!N164+'Model inputs'!N156</f>
        <v>396.029089625</v>
      </c>
      <c r="O118" s="9">
        <f>'Model inputs'!O160+'Model inputs'!O162+'Model inputs'!O164+'Model inputs'!O156</f>
        <v>464.13545596262503</v>
      </c>
      <c r="P118" s="9">
        <f>'Model inputs'!P160+'Model inputs'!P162+'Model inputs'!P164+'Model inputs'!P156</f>
        <v>531.0672407515457</v>
      </c>
      <c r="Q118" s="9">
        <f>'Model inputs'!Q160+'Model inputs'!Q162+'Model inputs'!Q164+'Model inputs'!Q156</f>
        <v>596.8451224360653</v>
      </c>
      <c r="R118" s="9">
        <f>'Model inputs'!R160+'Model inputs'!R162+'Model inputs'!R164+'Model inputs'!R156</f>
        <v>661.4894080894012</v>
      </c>
      <c r="S118" s="9">
        <f>'Model inputs'!S160+'Model inputs'!S162+'Model inputs'!S164+'Model inputs'!S156</f>
        <v>725.0200402081396</v>
      </c>
      <c r="T118" s="9">
        <f>'Model inputs'!T160+'Model inputs'!T162+'Model inputs'!T164+'Model inputs'!T156</f>
        <v>787.4566033802953</v>
      </c>
      <c r="U118" s="9">
        <f>'Model inputs'!U160+'Model inputs'!U162+'Model inputs'!U164+'Model inputs'!U156</f>
        <v>848.8183308293633</v>
      </c>
      <c r="V118" s="9">
        <f>'Model inputs'!V160+'Model inputs'!V162+'Model inputs'!V164+'Model inputs'!V156</f>
        <v>909.1241108366996</v>
      </c>
      <c r="W118" s="9">
        <f>'Model inputs'!W160+'Model inputs'!W162+'Model inputs'!W164+'Model inputs'!W156</f>
        <v>968.3924930445304</v>
      </c>
      <c r="X118" s="9">
        <f>'Model inputs'!X160+'Model inputs'!X162+'Model inputs'!X164+'Model inputs'!X156</f>
        <v>1026.6416946418358</v>
      </c>
      <c r="Y118" s="9">
        <f>'Model inputs'!Y160+'Model inputs'!Y162+'Model inputs'!Y164+'Model inputs'!Y156</f>
        <v>1083.8896064353225</v>
      </c>
      <c r="Z118" s="9">
        <f>'Model inputs'!Z160+'Model inputs'!Z162+'Model inputs'!Z164+'Model inputs'!Z156</f>
        <v>1140.1537988076448</v>
      </c>
      <c r="AA118" s="9">
        <f>'Model inputs'!AA160+'Model inputs'!AA162+'Model inputs'!AA164+'Model inputs'!AA156</f>
        <v>1195.4515275650049</v>
      </c>
      <c r="AB118" s="9">
        <f>'Model inputs'!AB160+'Model inputs'!AB162+'Model inputs'!AB164+'Model inputs'!AB156</f>
        <v>1249.7997396762153</v>
      </c>
      <c r="AC118" s="9">
        <f>'Model inputs'!AC160+'Model inputs'!AC162+'Model inputs'!AC164+'Model inputs'!AC156</f>
        <v>1303.2150789052635</v>
      </c>
      <c r="AD118" s="9">
        <f>'Model inputs'!AD160+'Model inputs'!AD162+'Model inputs'!AD164+'Model inputs'!AD156</f>
        <v>1355.7138913393924</v>
      </c>
      <c r="AE118" s="9">
        <f>'Model inputs'!AE160+'Model inputs'!AE162+'Model inputs'!AE164+'Model inputs'!AE156</f>
        <v>1407.312230814655</v>
      </c>
      <c r="AF118" s="9">
        <f>'Model inputs'!AF160+'Model inputs'!AF162+'Model inputs'!AF164+'Model inputs'!AF156</f>
        <v>1458.0258642408817</v>
      </c>
      <c r="AG118" s="9">
        <f>'Model inputs'!AG160+'Model inputs'!AG162+'Model inputs'!AG164+'Model inputs'!AG156</f>
        <v>1507.8702768279463</v>
      </c>
      <c r="AH118" s="9">
        <f>'Model inputs'!AH160+'Model inputs'!AH162+'Model inputs'!AH164+'Model inputs'!AH156</f>
        <v>1556.8606772151911</v>
      </c>
      <c r="AI118" s="9">
        <f>'Model inputs'!AI160+'Model inputs'!AI162+'Model inputs'!AI164+'Model inputs'!AI156</f>
        <v>1605.0120025058343</v>
      </c>
    </row>
    <row r="119">
      <c r="A119" t="inlineStr" s="22">
        <is>
          <t xml:space="preserve">Net cash flow · Bad Reliability</t>
        </is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f>'Model inputs'!L151-'Model inputs'!L153</f>
        <v>-156.61199999999997</v>
      </c>
      <c r="M119" s="9">
        <f>'Model inputs'!M151-'Model inputs'!M153</f>
        <v>-120.39908000000003</v>
      </c>
      <c r="N119" s="9">
        <f>'Model inputs'!N151-'Model inputs'!N153</f>
        <v>-86.19249519999994</v>
      </c>
      <c r="O119" s="9">
        <f>'Model inputs'!O151-'Model inputs'!O153</f>
        <v>-2053.880187488</v>
      </c>
      <c r="P119" s="9">
        <f>'Model inputs'!P151-'Model inputs'!P153</f>
        <v>-2023.3564061387199</v>
      </c>
      <c r="Q119" s="9">
        <f>'Model inputs'!Q151-'Model inputs'!Q153</f>
        <v>-1994.521350175397</v>
      </c>
      <c r="R119" s="9">
        <f>'Model inputs'!R151-'Model inputs'!R153</f>
        <v>-1967.2808311496228</v>
      </c>
      <c r="S119" s="9">
        <f>'Model inputs'!S151-'Model inputs'!S153</f>
        <v>-1941.545955166158</v>
      </c>
      <c r="T119" s="9">
        <f>'Model inputs'!T151-'Model inputs'!T153</f>
        <v>-1917.2328230474254</v>
      </c>
      <c r="U119" s="9">
        <f>'Model inputs'!U151-'Model inputs'!U153</f>
        <v>-1894.262247596255</v>
      </c>
      <c r="V119" s="9">
        <f>'Model inputs'!V151-'Model inputs'!V153</f>
        <v>-1872.5594869755707</v>
      </c>
      <c r="W119" s="9">
        <f>'Model inputs'!W151-'Model inputs'!W153</f>
        <v>-1852.053993280373</v>
      </c>
      <c r="X119" s="9">
        <f>'Model inputs'!X151-'Model inputs'!X153</f>
        <v>-1832.6791754307212</v>
      </c>
      <c r="Y119" s="9">
        <f>'Model inputs'!Y151-'Model inputs'!Y153</f>
        <v>-1814.3721755646889</v>
      </c>
      <c r="Z119" s="9">
        <f>'Model inputs'!Z151-'Model inputs'!Z153</f>
        <v>-1797.0736581576286</v>
      </c>
      <c r="AA119" s="9">
        <f>'Model inputs'!AA151-'Model inputs'!AA153</f>
        <v>-1780.7276111386504</v>
      </c>
      <c r="AB119" s="9">
        <f>'Model inputs'!AB151-'Model inputs'!AB153</f>
        <v>-1765.2811583172875</v>
      </c>
      <c r="AC119" s="9">
        <f>'Model inputs'!AC151-'Model inputs'!AC153</f>
        <v>-1750.684382472858</v>
      </c>
      <c r="AD119" s="9">
        <f>'Model inputs'!AD151-'Model inputs'!AD153</f>
        <v>-1736.8901584963642</v>
      </c>
      <c r="AE119" s="9">
        <f>'Model inputs'!AE151-'Model inputs'!AE153</f>
        <v>-1723.853996009866</v>
      </c>
      <c r="AF119" s="9">
        <f>'Model inputs'!AF151-'Model inputs'!AF153</f>
        <v>-1711.5338909213935</v>
      </c>
      <c r="AG119" s="9">
        <f>'Model inputs'!AG151-'Model inputs'!AG153</f>
        <v>-1699.8901854046233</v>
      </c>
      <c r="AH119" s="9">
        <f>'Model inputs'!AH151-'Model inputs'!AH153</f>
        <v>-1688.8854358219337</v>
      </c>
      <c r="AI119" s="9">
        <f>'Model inputs'!AI151-'Model inputs'!AI153</f>
        <v>-1678.4842881371262</v>
      </c>
    </row>
    <row r="120">
      <c r="A120" t="inlineStr" s="22">
        <is>
          <t xml:space="preserve">Net cash flow · Growth</t>
        </is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f>'Model inputs'!L152-'Model inputs'!L154</f>
        <v>-120.82800000000009</v>
      </c>
      <c r="M120" s="9">
        <f>'Model inputs'!M152-'Model inputs'!M154</f>
        <v>163.65546500000028</v>
      </c>
      <c r="N120" s="9">
        <f>'Model inputs'!N152-'Model inputs'!N154</f>
        <v>443.3346821250002</v>
      </c>
      <c r="O120" s="9">
        <f>'Model inputs'!O152-'Model inputs'!O154</f>
        <v>-1281.7075449888748</v>
      </c>
      <c r="P120" s="9">
        <f>'Model inputs'!P152-'Model inputs'!P154</f>
        <v>-1011.3898695584021</v>
      </c>
      <c r="Q120" s="9">
        <f>'Model inputs'!Q152-'Model inputs'!Q154</f>
        <v>-745.6323755044982</v>
      </c>
      <c r="R120" s="9">
        <f>'Model inputs'!R152-'Model inputs'!R154</f>
        <v>-484.35655178161414</v>
      </c>
      <c r="S120" s="9">
        <f>'Model inputs'!S152-'Model inputs'!S154</f>
        <v>-227.4852671763797</v>
      </c>
      <c r="T120" s="9">
        <f>'Model inputs'!T152-'Model inputs'!T154</f>
        <v>25.0572544332058</v>
      </c>
      <c r="U120" s="9">
        <f>'Model inputs'!U152-'Model inputs'!U154</f>
        <v>273.34545836660936</v>
      </c>
      <c r="V120" s="9">
        <f>'Model inputs'!V152-'Model inputs'!V154</f>
        <v>517.4524829860138</v>
      </c>
      <c r="W120" s="9">
        <f>'Model inputs'!W152-'Model inputs'!W154</f>
        <v>757.4501831062285</v>
      </c>
      <c r="X120" s="9">
        <f>'Model inputs'!X152-'Model inputs'!X154</f>
        <v>993.4091529773405</v>
      </c>
      <c r="Y120" s="9">
        <f>'Model inputs'!Y152-'Model inputs'!Y154</f>
        <v>1225.3987488480311</v>
      </c>
      <c r="Z120" s="9">
        <f>'Model inputs'!Z152-'Model inputs'!Z154</f>
        <v>1453.4871111173538</v>
      </c>
      <c r="AA120" s="9">
        <f>'Model inputs'!AA152-'Model inputs'!AA154</f>
        <v>1677.7411860825978</v>
      </c>
      <c r="AB120" s="9">
        <f>'Model inputs'!AB152-'Model inputs'!AB154</f>
        <v>1898.226747290721</v>
      </c>
      <c r="AC120" s="9">
        <f>'Model inputs'!AC152-'Model inputs'!AC154</f>
        <v>2115.008416500735</v>
      </c>
      <c r="AD120" s="9">
        <f>'Model inputs'!AD152-'Model inputs'!AD154</f>
        <v>2328.1496842642136</v>
      </c>
      <c r="AE120" s="9">
        <f>'Model inputs'!AE152-'Model inputs'!AE154</f>
        <v>2537.712930131018</v>
      </c>
      <c r="AF120" s="9">
        <f>'Model inputs'!AF152-'Model inputs'!AF154</f>
        <v>2743.759442487207</v>
      </c>
      <c r="AG120" s="9">
        <f>'Model inputs'!AG152-'Model inputs'!AG154</f>
        <v>2946.349438031888</v>
      </c>
      <c r="AH120" s="9">
        <f>'Model inputs'!AH152-'Model inputs'!AH154</f>
        <v>3145.5420808997605</v>
      </c>
      <c r="AI120" s="9">
        <f>'Model inputs'!AI152-'Model inputs'!AI154</f>
        <v>3341.395501435847</v>
      </c>
    </row>
    <row r="121">
      <c r="A121" t="inlineStr" s="22">
        <is>
          <t xml:space="preserve">Opening cash assumption · Bad Reliability</t>
        </is>
      </c>
      <c r="B121" s="9">
        <f>'SwapDesk — Assumptions · Commer'!B15</f>
        <v>15000</v>
      </c>
    </row>
    <row r="122">
      <c r="A122" t="inlineStr" s="22">
        <is>
          <t xml:space="preserve">Opening cash assumption · Growth</t>
        </is>
      </c>
      <c r="B122" s="9">
        <f>'SwapDesk — Assumptions · Commer'!B15</f>
        <v>15000</v>
      </c>
    </row>
    <row r="123">
      <c r="A123" t="inlineStr" s="22">
        <is>
          <t xml:space="preserve">Operating expenses · Bad Reliability</t>
        </is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f>'Model inputs'!L165+'Model inputs'!L149+'Model inputs'!L157+'Model inputs'!L167</f>
        <v>356.25</v>
      </c>
      <c r="M123" s="9">
        <f>'Model inputs'!M165+'Model inputs'!M149+'Model inputs'!M157+'Model inputs'!M167</f>
        <v>356.25</v>
      </c>
      <c r="N123" s="9">
        <f>'Model inputs'!N165+'Model inputs'!N149+'Model inputs'!N157+'Model inputs'!N167</f>
        <v>356.25</v>
      </c>
      <c r="O123" s="9">
        <f>'Model inputs'!O165+'Model inputs'!O149+'Model inputs'!O157+'Model inputs'!O167</f>
        <v>2356.25</v>
      </c>
      <c r="P123" s="9">
        <f>'Model inputs'!P165+'Model inputs'!P149+'Model inputs'!P157+'Model inputs'!P167</f>
        <v>2356.25</v>
      </c>
      <c r="Q123" s="9">
        <f>'Model inputs'!Q165+'Model inputs'!Q149+'Model inputs'!Q157+'Model inputs'!Q167</f>
        <v>2356.25</v>
      </c>
      <c r="R123" s="9">
        <f>'Model inputs'!R165+'Model inputs'!R149+'Model inputs'!R157+'Model inputs'!R167</f>
        <v>2356.25</v>
      </c>
      <c r="S123" s="9">
        <f>'Model inputs'!S165+'Model inputs'!S149+'Model inputs'!S157+'Model inputs'!S167</f>
        <v>2356.25</v>
      </c>
      <c r="T123" s="9">
        <f>'Model inputs'!T165+'Model inputs'!T149+'Model inputs'!T157+'Model inputs'!T167</f>
        <v>2356.25</v>
      </c>
      <c r="U123" s="9">
        <f>'Model inputs'!U165+'Model inputs'!U149+'Model inputs'!U157+'Model inputs'!U167</f>
        <v>2356.25</v>
      </c>
      <c r="V123" s="9">
        <f>'Model inputs'!V165+'Model inputs'!V149+'Model inputs'!V157+'Model inputs'!V167</f>
        <v>2356.25</v>
      </c>
      <c r="W123" s="9">
        <f>'Model inputs'!W165+'Model inputs'!W149+'Model inputs'!W157+'Model inputs'!W167</f>
        <v>2356.25</v>
      </c>
      <c r="X123" s="9">
        <f>'Model inputs'!X165+'Model inputs'!X149+'Model inputs'!X157+'Model inputs'!X167</f>
        <v>2356.25</v>
      </c>
      <c r="Y123" s="9">
        <f>'Model inputs'!Y165+'Model inputs'!Y149+'Model inputs'!Y157+'Model inputs'!Y167</f>
        <v>2356.25</v>
      </c>
      <c r="Z123" s="9">
        <f>'Model inputs'!Z165+'Model inputs'!Z149+'Model inputs'!Z157+'Model inputs'!Z167</f>
        <v>2356.25</v>
      </c>
      <c r="AA123" s="9">
        <f>'Model inputs'!AA165+'Model inputs'!AA149+'Model inputs'!AA157+'Model inputs'!AA167</f>
        <v>2356.25</v>
      </c>
      <c r="AB123" s="9">
        <f>'Model inputs'!AB165+'Model inputs'!AB149+'Model inputs'!AB157+'Model inputs'!AB167</f>
        <v>2356.25</v>
      </c>
      <c r="AC123" s="9">
        <f>'Model inputs'!AC165+'Model inputs'!AC149+'Model inputs'!AC157+'Model inputs'!AC167</f>
        <v>2356.25</v>
      </c>
      <c r="AD123" s="9">
        <f>'Model inputs'!AD165+'Model inputs'!AD149+'Model inputs'!AD157+'Model inputs'!AD167</f>
        <v>2356.25</v>
      </c>
      <c r="AE123" s="9">
        <f>'Model inputs'!AE165+'Model inputs'!AE149+'Model inputs'!AE157+'Model inputs'!AE167</f>
        <v>2356.25</v>
      </c>
      <c r="AF123" s="9">
        <f>'Model inputs'!AF165+'Model inputs'!AF149+'Model inputs'!AF157+'Model inputs'!AF167</f>
        <v>2356.25</v>
      </c>
      <c r="AG123" s="9">
        <f>'Model inputs'!AG165+'Model inputs'!AG149+'Model inputs'!AG157+'Model inputs'!AG167</f>
        <v>2356.25</v>
      </c>
      <c r="AH123" s="9">
        <f>'Model inputs'!AH165+'Model inputs'!AH149+'Model inputs'!AH157+'Model inputs'!AH167</f>
        <v>2356.25</v>
      </c>
      <c r="AI123" s="9">
        <f>'Model inputs'!AI165+'Model inputs'!AI149+'Model inputs'!AI157+'Model inputs'!AI167</f>
        <v>2356.25</v>
      </c>
    </row>
    <row r="124">
      <c r="A124" t="inlineStr" s="22">
        <is>
          <t xml:space="preserve">Operating expenses · Growth</t>
        </is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f>'Model inputs'!L166+'Model inputs'!L150+'Model inputs'!L158+'Model inputs'!L168</f>
        <v>768.75</v>
      </c>
      <c r="M124" s="9">
        <f>'Model inputs'!M166+'Model inputs'!M150+'Model inputs'!M158+'Model inputs'!M168</f>
        <v>768.75</v>
      </c>
      <c r="N124" s="9">
        <f>'Model inputs'!N166+'Model inputs'!N150+'Model inputs'!N158+'Model inputs'!N168</f>
        <v>768.75</v>
      </c>
      <c r="O124" s="9">
        <f>'Model inputs'!O166+'Model inputs'!O150+'Model inputs'!O158+'Model inputs'!O168</f>
        <v>2768.75</v>
      </c>
      <c r="P124" s="9">
        <f>'Model inputs'!P166+'Model inputs'!P150+'Model inputs'!P158+'Model inputs'!P168</f>
        <v>2768.75</v>
      </c>
      <c r="Q124" s="9">
        <f>'Model inputs'!Q166+'Model inputs'!Q150+'Model inputs'!Q158+'Model inputs'!Q168</f>
        <v>2768.75</v>
      </c>
      <c r="R124" s="9">
        <f>'Model inputs'!R166+'Model inputs'!R150+'Model inputs'!R158+'Model inputs'!R168</f>
        <v>2768.75</v>
      </c>
      <c r="S124" s="9">
        <f>'Model inputs'!S166+'Model inputs'!S150+'Model inputs'!S158+'Model inputs'!S168</f>
        <v>2768.75</v>
      </c>
      <c r="T124" s="9">
        <f>'Model inputs'!T166+'Model inputs'!T150+'Model inputs'!T158+'Model inputs'!T168</f>
        <v>2768.75</v>
      </c>
      <c r="U124" s="9">
        <f>'Model inputs'!U166+'Model inputs'!U150+'Model inputs'!U158+'Model inputs'!U168</f>
        <v>2768.75</v>
      </c>
      <c r="V124" s="9">
        <f>'Model inputs'!V166+'Model inputs'!V150+'Model inputs'!V158+'Model inputs'!V168</f>
        <v>2768.75</v>
      </c>
      <c r="W124" s="9">
        <f>'Model inputs'!W166+'Model inputs'!W150+'Model inputs'!W158+'Model inputs'!W168</f>
        <v>2768.75</v>
      </c>
      <c r="X124" s="9">
        <f>'Model inputs'!X166+'Model inputs'!X150+'Model inputs'!X158+'Model inputs'!X168</f>
        <v>2768.75</v>
      </c>
      <c r="Y124" s="9">
        <f>'Model inputs'!Y166+'Model inputs'!Y150+'Model inputs'!Y158+'Model inputs'!Y168</f>
        <v>2768.75</v>
      </c>
      <c r="Z124" s="9">
        <f>'Model inputs'!Z166+'Model inputs'!Z150+'Model inputs'!Z158+'Model inputs'!Z168</f>
        <v>2768.75</v>
      </c>
      <c r="AA124" s="9">
        <f>'Model inputs'!AA166+'Model inputs'!AA150+'Model inputs'!AA158+'Model inputs'!AA168</f>
        <v>2768.75</v>
      </c>
      <c r="AB124" s="9">
        <f>'Model inputs'!AB166+'Model inputs'!AB150+'Model inputs'!AB158+'Model inputs'!AB168</f>
        <v>2768.75</v>
      </c>
      <c r="AC124" s="9">
        <f>'Model inputs'!AC166+'Model inputs'!AC150+'Model inputs'!AC158+'Model inputs'!AC168</f>
        <v>2768.75</v>
      </c>
      <c r="AD124" s="9">
        <f>'Model inputs'!AD166+'Model inputs'!AD150+'Model inputs'!AD158+'Model inputs'!AD168</f>
        <v>2768.75</v>
      </c>
      <c r="AE124" s="9">
        <f>'Model inputs'!AE166+'Model inputs'!AE150+'Model inputs'!AE158+'Model inputs'!AE168</f>
        <v>2768.75</v>
      </c>
      <c r="AF124" s="9">
        <f>'Model inputs'!AF166+'Model inputs'!AF150+'Model inputs'!AF158+'Model inputs'!AF168</f>
        <v>2768.75</v>
      </c>
      <c r="AG124" s="9">
        <f>'Model inputs'!AG166+'Model inputs'!AG150+'Model inputs'!AG158+'Model inputs'!AG168</f>
        <v>2768.75</v>
      </c>
      <c r="AH124" s="9">
        <f>'Model inputs'!AH166+'Model inputs'!AH150+'Model inputs'!AH158+'Model inputs'!AH168</f>
        <v>2768.75</v>
      </c>
      <c r="AI124" s="9">
        <f>'Model inputs'!AI166+'Model inputs'!AI150+'Model inputs'!AI158+'Model inputs'!AI168</f>
        <v>2768.75</v>
      </c>
    </row>
    <row r="125">
      <c r="A125" t="inlineStr" s="22">
        <is>
          <t xml:space="preserve">Revenue</t>
        </is>
      </c>
      <c r="C125" s="6">
        <f>IF('Model inputs'!C53="","",'Model inputs'!C53)</f>
        <v>0</v>
      </c>
      <c r="D125" s="6">
        <f>IF('Model inputs'!D53="","",'Model inputs'!D53)</f>
        <v>0</v>
      </c>
      <c r="E125" s="6">
        <f>IF('Model inputs'!E53="","",'Model inputs'!E53)</f>
        <v>0</v>
      </c>
      <c r="F125" s="6">
        <f>IF('Model inputs'!F53="","",'Model inputs'!F53)</f>
        <v>0</v>
      </c>
      <c r="G125" s="6">
        <f>IF('Model inputs'!G53="","",'Model inputs'!G53)</f>
        <v>0</v>
      </c>
      <c r="H125" s="6">
        <f>IF('Model inputs'!H53="","",'Model inputs'!H53)</f>
        <v>0</v>
      </c>
      <c r="I125" s="6">
        <f>IF('Model inputs'!I53="","",'Model inputs'!I53)</f>
        <v>0</v>
      </c>
      <c r="J125" s="6">
        <f>IF('Model inputs'!J53="","",'Model inputs'!J53)</f>
        <v>0</v>
      </c>
      <c r="K125" s="6">
        <f>IF('Model inputs'!K53="","",'Model inputs'!K53)</f>
        <v>0</v>
      </c>
      <c r="L125" s="6">
        <f>IF('Model inputs'!L53="","",'Model inputs'!L53)</f>
        <v>492.9</v>
      </c>
      <c r="M125" s="6">
        <f>IF('Model inputs'!M53="","",'Model inputs'!M53)</f>
        <v>558.962</v>
      </c>
      <c r="N125" s="6">
        <f>IF('Model inputs'!N53="","",'Model inputs'!N53)</f>
        <v>621.3984800000001</v>
      </c>
      <c r="O125" s="6">
        <f>IF('Model inputs'!O53="","",'Model inputs'!O53)</f>
        <v>680.4100612</v>
      </c>
      <c r="P125" s="6">
        <f>IF('Model inputs'!P53="","",'Model inputs'!P53)</f>
        <v>736.186173028</v>
      </c>
      <c r="Q125" s="6">
        <f>IF('Model inputs'!Q53="","",'Model inputs'!Q53)</f>
        <v>788.9056823713199</v>
      </c>
      <c r="R125" s="6">
        <f>IF('Model inputs'!R53="","",'Model inputs'!R53)</f>
        <v>838.7374871677907</v>
      </c>
      <c r="S125" s="6">
        <f>IF('Model inputs'!S53="","",'Model inputs'!S53)</f>
        <v>885.8410763895358</v>
      </c>
      <c r="T125" s="6">
        <f>IF('Model inputs'!T53="","",'Model inputs'!T53)</f>
        <v>930.3670583353855</v>
      </c>
      <c r="U125" s="6">
        <f>IF('Model inputs'!U53="","",'Model inputs'!U53)</f>
        <v>972.4576590380232</v>
      </c>
      <c r="V125" s="6">
        <f>IF('Model inputs'!V53="","",'Model inputs'!V53)</f>
        <v>1012.2471924883646</v>
      </c>
      <c r="W125" s="6">
        <f>IF('Model inputs'!W53="","",'Model inputs'!W53)</f>
        <v>1049.8625042820545</v>
      </c>
      <c r="X125" s="6">
        <f>IF('Model inputs'!X53="","",'Model inputs'!X53)</f>
        <v>1085.423390200973</v>
      </c>
      <c r="Y125" s="6">
        <f>IF('Model inputs'!Y53="","",'Model inputs'!Y53)</f>
        <v>1119.0429911559645</v>
      </c>
      <c r="Z125" s="6">
        <f>IF('Model inputs'!Z53="","",'Model inputs'!Z53)</f>
        <v>1150.8281658353042</v>
      </c>
      <c r="AA125" s="6">
        <f>IF('Model inputs'!AA53="","",'Model inputs'!AA53)</f>
        <v>1180.8798423264484</v>
      </c>
      <c r="AB125" s="6">
        <f>IF('Model inputs'!AB53="","",'Model inputs'!AB53)</f>
        <v>1209.293349906061</v>
      </c>
      <c r="AC125" s="6">
        <f>IF('Model inputs'!AC53="","",'Model inputs'!AC53)</f>
        <v>1236.1587321249367</v>
      </c>
      <c r="AD125" s="6">
        <f>IF('Model inputs'!AD53="","",'Model inputs'!AD53)</f>
        <v>1261.561042250018</v>
      </c>
      <c r="AE125" s="6">
        <f>IF('Model inputs'!AE53="","",'Model inputs'!AE53)</f>
        <v>1285.5806220649656</v>
      </c>
      <c r="AF125" s="6">
        <f>IF('Model inputs'!AF53="","",'Model inputs'!AF53)</f>
        <v>1308.293364973519</v>
      </c>
      <c r="AG125" s="6">
        <f>IF('Model inputs'!AG53="","",'Model inputs'!AG53)</f>
        <v>1329.7709642959364</v>
      </c>
      <c r="AH125" s="6">
        <f>IF('Model inputs'!AH53="","",'Model inputs'!AH53)</f>
        <v>1350.0811475979676</v>
      </c>
      <c r="AI125" s="6">
        <f>IF('Model inputs'!AI53="","",'Model inputs'!AI53)</f>
        <v>1369.2878978438873</v>
      </c>
    </row>
    <row r="126" outlineLevel="1">
      <c r="A126" t="inlineStr" s="23">
        <is>
          <t xml:space="preserve">Revenue &gt; Growing shop</t>
        </is>
      </c>
      <c r="C126" s="9">
        <f>'Model inputs'!C56</f>
        <v>0</v>
      </c>
      <c r="D126" s="9">
        <f>'Model inputs'!D56</f>
        <v>0</v>
      </c>
      <c r="E126" s="9">
        <f>'Model inputs'!E56</f>
        <v>0</v>
      </c>
      <c r="F126" s="9">
        <f>'Model inputs'!F56</f>
        <v>0</v>
      </c>
      <c r="G126" s="9">
        <f>'Model inputs'!G56</f>
        <v>0</v>
      </c>
      <c r="H126" s="9">
        <f>'Model inputs'!H56</f>
        <v>0</v>
      </c>
      <c r="I126" s="9">
        <f>'Model inputs'!I56</f>
        <v>0</v>
      </c>
      <c r="J126" s="9">
        <f>'Model inputs'!J56</f>
        <v>0</v>
      </c>
      <c r="K126" s="9">
        <f>'SwapDesk — Operations · Merchan'!B39</f>
        <v>0</v>
      </c>
      <c r="L126" s="9">
        <f>'Model inputs'!L176+'Model inputs'!L170</f>
        <v>213.6</v>
      </c>
      <c r="M126" s="9">
        <f>'Model inputs'!M176+'Model inputs'!M170</f>
        <v>247.42</v>
      </c>
      <c r="N126" s="9">
        <f>'Model inputs'!N176+'Model inputs'!N170</f>
        <v>279.549</v>
      </c>
      <c r="O126" s="9">
        <f>'Model inputs'!O176+'Model inputs'!O170</f>
        <v>310.07155</v>
      </c>
      <c r="P126" s="9">
        <f>'Model inputs'!P176+'Model inputs'!P170</f>
        <v>339.0679725</v>
      </c>
      <c r="Q126" s="9">
        <f>'Model inputs'!Q176+'Model inputs'!Q170</f>
        <v>366.614573875</v>
      </c>
      <c r="R126" s="9">
        <f>'Model inputs'!R176+'Model inputs'!R170</f>
        <v>392.78384518124994</v>
      </c>
      <c r="S126" s="9">
        <f>'Model inputs'!S176+'Model inputs'!S170</f>
        <v>417.64465292218745</v>
      </c>
      <c r="T126" s="9">
        <f>'Model inputs'!T176+'Model inputs'!T170</f>
        <v>441.2624202760781</v>
      </c>
      <c r="U126" s="9">
        <f>'Model inputs'!U176+'Model inputs'!U170</f>
        <v>463.6992992622742</v>
      </c>
      <c r="V126" s="9">
        <f>'Model inputs'!V176+'Model inputs'!V170</f>
        <v>485.0143342991605</v>
      </c>
      <c r="W126" s="9">
        <f>'Model inputs'!W176+'Model inputs'!W170</f>
        <v>505.2636175842025</v>
      </c>
      <c r="X126" s="9">
        <f>'Model inputs'!X176+'Model inputs'!X170</f>
        <v>524.5004367049924</v>
      </c>
      <c r="Y126" s="9">
        <f>'Model inputs'!Y176+'Model inputs'!Y170</f>
        <v>542.7754148697427</v>
      </c>
      <c r="Z126" s="9">
        <f>'Model inputs'!Z176+'Model inputs'!Z170</f>
        <v>560.1366441262555</v>
      </c>
      <c r="AA126" s="9">
        <f>'Model inputs'!AA176+'Model inputs'!AA170</f>
        <v>576.6298119199428</v>
      </c>
      <c r="AB126" s="9">
        <f>'Model inputs'!AB176+'Model inputs'!AB170</f>
        <v>592.2983213239456</v>
      </c>
      <c r="AC126" s="9">
        <f>'Model inputs'!AC176+'Model inputs'!AC170</f>
        <v>607.1834052577483</v>
      </c>
      <c r="AD126" s="9">
        <f>'Model inputs'!AD176+'Model inputs'!AD170</f>
        <v>621.324234994861</v>
      </c>
      <c r="AE126" s="9">
        <f>'Model inputs'!AE176+'Model inputs'!AE170</f>
        <v>634.758023245118</v>
      </c>
      <c r="AF126" s="9">
        <f>'Model inputs'!AF176+'Model inputs'!AF170</f>
        <v>647.520122082862</v>
      </c>
      <c r="AG126" s="9">
        <f>'Model inputs'!AG176+'Model inputs'!AG170</f>
        <v>659.6441159787189</v>
      </c>
      <c r="AH126" s="9">
        <f>'Model inputs'!AH176+'Model inputs'!AH170</f>
        <v>671.161910179783</v>
      </c>
      <c r="AI126" s="9">
        <f>'Model inputs'!AI176+'Model inputs'!AI170</f>
        <v>682.1038146707939</v>
      </c>
    </row>
    <row r="127" outlineLevel="1">
      <c r="A127" t="inlineStr" s="23">
        <is>
          <t xml:space="preserve">Revenue &gt; Small shop</t>
        </is>
      </c>
      <c r="C127" s="9">
        <f>'Model inputs'!C57</f>
        <v>0</v>
      </c>
      <c r="D127" s="9">
        <f>'Model inputs'!D57</f>
        <v>0</v>
      </c>
      <c r="E127" s="9">
        <f>'Model inputs'!E57</f>
        <v>0</v>
      </c>
      <c r="F127" s="9">
        <f>'Model inputs'!F57</f>
        <v>0</v>
      </c>
      <c r="G127" s="9">
        <f>'Model inputs'!G57</f>
        <v>0</v>
      </c>
      <c r="H127" s="9">
        <f>'Model inputs'!H57</f>
        <v>0</v>
      </c>
      <c r="I127" s="9">
        <f>'Model inputs'!I57</f>
        <v>0</v>
      </c>
      <c r="J127" s="9">
        <f>'Model inputs'!J57</f>
        <v>0</v>
      </c>
      <c r="K127" s="9">
        <f>'SwapDesk — Operations · Merchan'!B40</f>
        <v>0</v>
      </c>
      <c r="L127" s="9">
        <f>'Model inputs'!L177+'Model inputs'!L171</f>
        <v>279.3</v>
      </c>
      <c r="M127" s="9">
        <f>'Model inputs'!M177+'Model inputs'!M171</f>
        <v>311.54200000000003</v>
      </c>
      <c r="N127" s="9">
        <f>'Model inputs'!N177+'Model inputs'!N171</f>
        <v>341.84948</v>
      </c>
      <c r="O127" s="9">
        <f>'Model inputs'!O177+'Model inputs'!O171</f>
        <v>370.3385112</v>
      </c>
      <c r="P127" s="9">
        <f>'Model inputs'!P177+'Model inputs'!P171</f>
        <v>397.118200528</v>
      </c>
      <c r="Q127" s="9">
        <f>'Model inputs'!Q177+'Model inputs'!Q171</f>
        <v>422.29110849631996</v>
      </c>
      <c r="R127" s="9">
        <f>'Model inputs'!R177+'Model inputs'!R171</f>
        <v>445.95364198654073</v>
      </c>
      <c r="S127" s="9">
        <f>'Model inputs'!S177+'Model inputs'!S171</f>
        <v>468.1964234673483</v>
      </c>
      <c r="T127" s="9">
        <f>'Model inputs'!T177+'Model inputs'!T171</f>
        <v>489.1046380593074</v>
      </c>
      <c r="U127" s="9">
        <f>'Model inputs'!U177+'Model inputs'!U171</f>
        <v>508.758359775749</v>
      </c>
      <c r="V127" s="9">
        <f>'Model inputs'!V177+'Model inputs'!V171</f>
        <v>527.2328581892041</v>
      </c>
      <c r="W127" s="9">
        <f>'Model inputs'!W177+'Model inputs'!W171</f>
        <v>544.5988866978519</v>
      </c>
      <c r="X127" s="9">
        <f>'Model inputs'!X177+'Model inputs'!X171</f>
        <v>560.9229534959807</v>
      </c>
      <c r="Y127" s="9">
        <f>'Model inputs'!Y177+'Model inputs'!Y171</f>
        <v>576.2675762862219</v>
      </c>
      <c r="Z127" s="9">
        <f>'Model inputs'!Z177+'Model inputs'!Z171</f>
        <v>590.6915217090486</v>
      </c>
      <c r="AA127" s="9">
        <f>'Model inputs'!AA177+'Model inputs'!AA171</f>
        <v>604.2500304065057</v>
      </c>
      <c r="AB127" s="9">
        <f>'Model inputs'!AB177+'Model inputs'!AB171</f>
        <v>616.9950285821154</v>
      </c>
      <c r="AC127" s="9">
        <f>'Model inputs'!AC177+'Model inputs'!AC171</f>
        <v>628.9753268671885</v>
      </c>
      <c r="AD127" s="9">
        <f>'Model inputs'!AD177+'Model inputs'!AD171</f>
        <v>640.2368072551571</v>
      </c>
      <c r="AE127" s="9">
        <f>'Model inputs'!AE177+'Model inputs'!AE171</f>
        <v>650.8225988198477</v>
      </c>
      <c r="AF127" s="9">
        <f>'Model inputs'!AF177+'Model inputs'!AF171</f>
        <v>660.7732428906569</v>
      </c>
      <c r="AG127" s="9">
        <f>'Model inputs'!AG177+'Model inputs'!AG171</f>
        <v>670.1268483172175</v>
      </c>
      <c r="AH127" s="9">
        <f>'Model inputs'!AH177+'Model inputs'!AH171</f>
        <v>678.9192374181845</v>
      </c>
      <c r="AI127" s="9">
        <f>'Model inputs'!AI177+'Model inputs'!AI171</f>
        <v>687.1840831730934</v>
      </c>
    </row>
    <row r="128">
      <c r="A128" t="inlineStr" s="22">
        <is>
          <t xml:space="preserve">Revenue</t>
        </is>
      </c>
      <c r="C128" s="6">
        <f>IF('Model inputs'!C54="","",'Model inputs'!C54)</f>
        <v>0</v>
      </c>
      <c r="D128" s="6">
        <f>IF('Model inputs'!D54="","",'Model inputs'!D54)</f>
        <v>0</v>
      </c>
      <c r="E128" s="6">
        <f>IF('Model inputs'!E54="","",'Model inputs'!E54)</f>
        <v>0</v>
      </c>
      <c r="F128" s="6">
        <f>IF('Model inputs'!F54="","",'Model inputs'!F54)</f>
        <v>0</v>
      </c>
      <c r="G128" s="6">
        <f>IF('Model inputs'!G54="","",'Model inputs'!G54)</f>
        <v>0</v>
      </c>
      <c r="H128" s="6">
        <f>IF('Model inputs'!H54="","",'Model inputs'!H54)</f>
        <v>0</v>
      </c>
      <c r="I128" s="6">
        <f>IF('Model inputs'!I54="","",'Model inputs'!I54)</f>
        <v>0</v>
      </c>
      <c r="J128" s="6">
        <f>IF('Model inputs'!J54="","",'Model inputs'!J54)</f>
        <v>0</v>
      </c>
      <c r="K128" s="6">
        <f>IF('Model inputs'!K54="","",'Model inputs'!K54)</f>
        <v>0</v>
      </c>
      <c r="L128" s="6">
        <f>IF('Model inputs'!L54="","",'Model inputs'!L54)</f>
        <v>904.13</v>
      </c>
      <c r="M128" s="6">
        <f>IF('Model inputs'!M54="","",'Model inputs'!M54)</f>
        <v>1259.1325500000003</v>
      </c>
      <c r="N128" s="6">
        <f>IF('Model inputs'!N54="","",'Model inputs'!N54)</f>
        <v>1608.11377175</v>
      </c>
      <c r="O128" s="6">
        <f>IF('Model inputs'!O54="","",'Model inputs'!O54)</f>
        <v>1951.1779109737504</v>
      </c>
      <c r="P128" s="6">
        <f>IF('Model inputs'!P54="","",'Model inputs'!P54)</f>
        <v>2288.4273711931437</v>
      </c>
      <c r="Q128" s="6">
        <f>IF('Model inputs'!Q54="","",'Model inputs'!Q54)</f>
        <v>2619.962746931567</v>
      </c>
      <c r="R128" s="6">
        <f>IF('Model inputs'!R54="","",'Model inputs'!R54)</f>
        <v>2945.882856307787</v>
      </c>
      <c r="S128" s="6">
        <f>IF('Model inputs'!S54="","",'Model inputs'!S54)</f>
        <v>3266.28477303176</v>
      </c>
      <c r="T128" s="6">
        <f>IF('Model inputs'!T54="","",'Model inputs'!T54)</f>
        <v>3581.263857813501</v>
      </c>
      <c r="U128" s="6">
        <f>IF('Model inputs'!U54="","",'Model inputs'!U54)</f>
        <v>3890.9137891959726</v>
      </c>
      <c r="V128" s="6">
        <f>IF('Model inputs'!V54="","",'Model inputs'!V54)</f>
        <v>4195.326593822713</v>
      </c>
      <c r="W128" s="6">
        <f>IF('Model inputs'!W54="","",'Model inputs'!W54)</f>
        <v>4494.592676150759</v>
      </c>
      <c r="X128" s="6">
        <f>IF('Model inputs'!X54="","",'Model inputs'!X54)</f>
        <v>4788.800847619176</v>
      </c>
      <c r="Y128" s="6">
        <f>IF('Model inputs'!Y54="","",'Model inputs'!Y54)</f>
        <v>5078.038355283354</v>
      </c>
      <c r="Z128" s="6">
        <f>IF('Model inputs'!Z54="","",'Model inputs'!Z54)</f>
        <v>5362.390909924999</v>
      </c>
      <c r="AA128" s="6">
        <f>IF('Model inputs'!AA54="","",'Model inputs'!AA54)</f>
        <v>5641.942713647602</v>
      </c>
      <c r="AB128" s="6">
        <f>IF('Model inputs'!AB54="","",'Model inputs'!AB54)</f>
        <v>5916.776486966936</v>
      </c>
      <c r="AC128" s="6">
        <f>IF('Model inputs'!AC54="","",'Model inputs'!AC54)</f>
        <v>6186.973495405999</v>
      </c>
      <c r="AD128" s="6">
        <f>IF('Model inputs'!AD54="","",'Model inputs'!AD54)</f>
        <v>6452.613575603606</v>
      </c>
      <c r="AE128" s="6">
        <f>IF('Model inputs'!AE54="","",'Model inputs'!AE54)</f>
        <v>6713.775160945673</v>
      </c>
      <c r="AF128" s="6">
        <f>IF('Model inputs'!AF54="","",'Model inputs'!AF54)</f>
        <v>6970.5353067280885</v>
      </c>
      <c r="AG128" s="6">
        <f>IF('Model inputs'!AG54="","",'Model inputs'!AG54)</f>
        <v>7222.969714859834</v>
      </c>
      <c r="AH128" s="6">
        <f>IF('Model inputs'!AH54="","",'Model inputs'!AH54)</f>
        <v>7471.152758114951</v>
      </c>
      <c r="AI128" s="6">
        <f>IF('Model inputs'!AI54="","",'Model inputs'!AI54)</f>
        <v>7715.157503941681</v>
      </c>
    </row>
    <row r="129" outlineLevel="1">
      <c r="A129" t="inlineStr" s="23">
        <is>
          <t xml:space="preserve">Revenue &gt; Growing shop</t>
        </is>
      </c>
      <c r="C129" s="9">
        <f>'Model inputs'!C56</f>
        <v>0</v>
      </c>
      <c r="D129" s="9">
        <f>'Model inputs'!D56</f>
        <v>0</v>
      </c>
      <c r="E129" s="9">
        <f>'Model inputs'!E56</f>
        <v>0</v>
      </c>
      <c r="F129" s="9">
        <f>'Model inputs'!F56</f>
        <v>0</v>
      </c>
      <c r="G129" s="9">
        <f>'Model inputs'!G56</f>
        <v>0</v>
      </c>
      <c r="H129" s="9">
        <f>'Model inputs'!H56</f>
        <v>0</v>
      </c>
      <c r="I129" s="9">
        <f>'Model inputs'!I56</f>
        <v>0</v>
      </c>
      <c r="J129" s="9">
        <f>'Model inputs'!J56</f>
        <v>0</v>
      </c>
      <c r="K129" s="9">
        <f>'SwapDesk — Operations · Merchan'!B39</f>
        <v>0</v>
      </c>
      <c r="L129" s="9">
        <f>'Model inputs'!L179+'Model inputs'!L173</f>
        <v>517.03</v>
      </c>
      <c r="M129" s="9">
        <f>'Model inputs'!M179+'Model inputs'!M173</f>
        <v>732.7745500000001</v>
      </c>
      <c r="N129" s="9">
        <f>'Model inputs'!N179+'Model inputs'!N173</f>
        <v>945.28293175</v>
      </c>
      <c r="O129" s="9">
        <f>'Model inputs'!O179+'Model inputs'!O173</f>
        <v>1154.6036877737502</v>
      </c>
      <c r="P129" s="9">
        <f>'Model inputs'!P179+'Model inputs'!P173</f>
        <v>1360.7846324571437</v>
      </c>
      <c r="Q129" s="9">
        <f>'Model inputs'!Q179+'Model inputs'!Q173</f>
        <v>1563.8728629702869</v>
      </c>
      <c r="R129" s="9">
        <f>'Model inputs'!R179+'Model inputs'!R173</f>
        <v>1763.9147700257322</v>
      </c>
      <c r="S129" s="9">
        <f>'Model inputs'!S179+'Model inputs'!S173</f>
        <v>1960.9560484753465</v>
      </c>
      <c r="T129" s="9">
        <f>'Model inputs'!T179+'Model inputs'!T173</f>
        <v>2155.041707748216</v>
      </c>
      <c r="U129" s="9">
        <f>'Model inputs'!U179+'Model inputs'!U173</f>
        <v>2346.216082131993</v>
      </c>
      <c r="V129" s="9">
        <f>'Model inputs'!V179+'Model inputs'!V173</f>
        <v>2534.522840900013</v>
      </c>
      <c r="W129" s="9">
        <f>'Model inputs'!W179+'Model inputs'!W173</f>
        <v>2720.0049982865125</v>
      </c>
      <c r="X129" s="9">
        <f>'Model inputs'!X179+'Model inputs'!X173</f>
        <v>2902.7049233122148</v>
      </c>
      <c r="Y129" s="9">
        <f>'Model inputs'!Y179+'Model inputs'!Y173</f>
        <v>3082.6643494625314</v>
      </c>
      <c r="Z129" s="9">
        <f>'Model inputs'!Z179+'Model inputs'!Z173</f>
        <v>3259.9243842205933</v>
      </c>
      <c r="AA129" s="9">
        <f>'Model inputs'!AA179+'Model inputs'!AA173</f>
        <v>3434.5255184572848</v>
      </c>
      <c r="AB129" s="9">
        <f>'Model inputs'!AB179+'Model inputs'!AB173</f>
        <v>3606.5076356804257</v>
      </c>
      <c r="AC129" s="9">
        <f>'Model inputs'!AC179+'Model inputs'!AC173</f>
        <v>3775.9100211452187</v>
      </c>
      <c r="AD129" s="9">
        <f>'Model inputs'!AD179+'Model inputs'!AD173</f>
        <v>3942.7713708280407</v>
      </c>
      <c r="AE129" s="9">
        <f>'Model inputs'!AE179+'Model inputs'!AE173</f>
        <v>4107.129800265619</v>
      </c>
      <c r="AF129" s="9">
        <f>'Model inputs'!AF179+'Model inputs'!AF173</f>
        <v>4269.022853261636</v>
      </c>
      <c r="AG129" s="9">
        <f>'Model inputs'!AG179+'Model inputs'!AG173</f>
        <v>4428.487510462711</v>
      </c>
      <c r="AH129" s="9">
        <f>'Model inputs'!AH179+'Model inputs'!AH173</f>
        <v>4585.56019780577</v>
      </c>
      <c r="AI129" s="9">
        <f>'Model inputs'!AI179+'Model inputs'!AI173</f>
        <v>4740.276794838684</v>
      </c>
    </row>
    <row r="130" outlineLevel="1">
      <c r="A130" t="inlineStr" s="23">
        <is>
          <t xml:space="preserve">Revenue &gt; Small shop</t>
        </is>
      </c>
      <c r="C130" s="9">
        <f>'Model inputs'!C57</f>
        <v>0</v>
      </c>
      <c r="D130" s="9">
        <f>'Model inputs'!D57</f>
        <v>0</v>
      </c>
      <c r="E130" s="9">
        <f>'Model inputs'!E57</f>
        <v>0</v>
      </c>
      <c r="F130" s="9">
        <f>'Model inputs'!F57</f>
        <v>0</v>
      </c>
      <c r="G130" s="9">
        <f>'Model inputs'!G57</f>
        <v>0</v>
      </c>
      <c r="H130" s="9">
        <f>'Model inputs'!H57</f>
        <v>0</v>
      </c>
      <c r="I130" s="9">
        <f>'Model inputs'!I57</f>
        <v>0</v>
      </c>
      <c r="J130" s="9">
        <f>'Model inputs'!J57</f>
        <v>0</v>
      </c>
      <c r="K130" s="9">
        <f>'SwapDesk — Operations · Merchan'!B40</f>
        <v>0</v>
      </c>
      <c r="L130" s="9">
        <f>'Model inputs'!L180+'Model inputs'!L174</f>
        <v>387.1</v>
      </c>
      <c r="M130" s="9">
        <f>'Model inputs'!M180+'Model inputs'!M174</f>
        <v>526.3580000000001</v>
      </c>
      <c r="N130" s="9">
        <f>'Model inputs'!N180+'Model inputs'!N174</f>
        <v>662.83084</v>
      </c>
      <c r="O130" s="9">
        <f>'Model inputs'!O180+'Model inputs'!O174</f>
        <v>796.5742232000001</v>
      </c>
      <c r="P130" s="9">
        <f>'Model inputs'!P180+'Model inputs'!P174</f>
        <v>927.6427387360002</v>
      </c>
      <c r="Q130" s="9">
        <f>'Model inputs'!Q180+'Model inputs'!Q174</f>
        <v>1056.08988396128</v>
      </c>
      <c r="R130" s="9">
        <f>'Model inputs'!R180+'Model inputs'!R174</f>
        <v>1181.9680862820546</v>
      </c>
      <c r="S130" s="9">
        <f>'Model inputs'!S180+'Model inputs'!S174</f>
        <v>1305.3287245564134</v>
      </c>
      <c r="T130" s="9">
        <f>'Model inputs'!T180+'Model inputs'!T174</f>
        <v>1426.2221500652852</v>
      </c>
      <c r="U130" s="9">
        <f>'Model inputs'!U180+'Model inputs'!U174</f>
        <v>1544.6977070639796</v>
      </c>
      <c r="V130" s="9">
        <f>'Model inputs'!V180+'Model inputs'!V174</f>
        <v>1660.8037529227001</v>
      </c>
      <c r="W130" s="9">
        <f>'Model inputs'!W180+'Model inputs'!W174</f>
        <v>1774.5876778642462</v>
      </c>
      <c r="X130" s="9">
        <f>'Model inputs'!X180+'Model inputs'!X174</f>
        <v>1886.0959243069613</v>
      </c>
      <c r="Y130" s="9">
        <f>'Model inputs'!Y180+'Model inputs'!Y174</f>
        <v>1995.374005820822</v>
      </c>
      <c r="Z130" s="9">
        <f>'Model inputs'!Z180+'Model inputs'!Z174</f>
        <v>2102.4665257044053</v>
      </c>
      <c r="AA130" s="9">
        <f>'Model inputs'!AA180+'Model inputs'!AA174</f>
        <v>2207.417195190317</v>
      </c>
      <c r="AB130" s="9">
        <f>'Model inputs'!AB180+'Model inputs'!AB174</f>
        <v>2310.2688512865107</v>
      </c>
      <c r="AC130" s="9">
        <f>'Model inputs'!AC180+'Model inputs'!AC174</f>
        <v>2411.0634742607804</v>
      </c>
      <c r="AD130" s="9">
        <f>'Model inputs'!AD180+'Model inputs'!AD174</f>
        <v>2509.842204775565</v>
      </c>
      <c r="AE130" s="9">
        <f>'Model inputs'!AE180+'Model inputs'!AE174</f>
        <v>2606.6453606800533</v>
      </c>
      <c r="AF130" s="9">
        <f>'Model inputs'!AF180+'Model inputs'!AF174</f>
        <v>2701.5124534664524</v>
      </c>
      <c r="AG130" s="9">
        <f>'Model inputs'!AG180+'Model inputs'!AG174</f>
        <v>2794.4822043971235</v>
      </c>
      <c r="AH130" s="9">
        <f>'Model inputs'!AH180+'Model inputs'!AH174</f>
        <v>2885.592560309181</v>
      </c>
      <c r="AI130" s="9">
        <f>'Model inputs'!AI180+'Model inputs'!AI174</f>
        <v>2974.8807091029976</v>
      </c>
    </row>
    <row r="131">
      <c r="A131" t="inlineStr" s="22">
        <is>
          <t xml:space="preserve">Founder annual pay · Planned annual compensation</t>
        </is>
      </c>
      <c r="B131" s="9">
        <f>'SwapDesk — Assumptions · Commer'!B16</f>
        <v>24000</v>
      </c>
    </row>
    <row r="132">
      <c r="A132" t="inlineStr" s="22">
        <is>
          <t xml:space="preserve">Onboarding cost</t>
        </is>
      </c>
      <c r="C132" s="6">
        <f>SUM('Model inputs'!C133,'Model inputs'!C134)</f>
        <v>0</v>
      </c>
      <c r="D132" s="6">
        <f>SUM('Model inputs'!D133,'Model inputs'!D134)</f>
        <v>0</v>
      </c>
      <c r="E132" s="6">
        <f>SUM('Model inputs'!E133,'Model inputs'!E134)</f>
        <v>0</v>
      </c>
      <c r="F132" s="6">
        <f>SUM('Model inputs'!F133,'Model inputs'!F134)</f>
        <v>0</v>
      </c>
      <c r="G132" s="6">
        <f>SUM('Model inputs'!G133,'Model inputs'!G134)</f>
        <v>0</v>
      </c>
      <c r="H132" s="6">
        <f>SUM('Model inputs'!H133,'Model inputs'!H134)</f>
        <v>0</v>
      </c>
      <c r="I132" s="6">
        <f>SUM('Model inputs'!I133,'Model inputs'!I134)</f>
        <v>0</v>
      </c>
      <c r="J132" s="6">
        <f>SUM('Model inputs'!J133,'Model inputs'!J134)</f>
        <v>0</v>
      </c>
      <c r="K132" s="6">
        <f>IF('Model inputs'!K88="","",'Model inputs'!K88)</f>
        <v>0</v>
      </c>
      <c r="L132" s="6">
        <f>IF('Model inputs'!L88="","",'Model inputs'!L88)</f>
        <v>56.25</v>
      </c>
      <c r="M132" s="6">
        <f>IF('Model inputs'!M88="","",'Model inputs'!M88)</f>
        <v>56.25</v>
      </c>
      <c r="N132" s="6">
        <f>IF('Model inputs'!N88="","",'Model inputs'!N88)</f>
        <v>56.25</v>
      </c>
      <c r="O132" s="6">
        <f>IF('Model inputs'!O88="","",'Model inputs'!O88)</f>
        <v>56.25</v>
      </c>
      <c r="P132" s="6">
        <f>IF('Model inputs'!P88="","",'Model inputs'!P88)</f>
        <v>56.25</v>
      </c>
      <c r="Q132" s="6">
        <f>IF('Model inputs'!Q88="","",'Model inputs'!Q88)</f>
        <v>56.25</v>
      </c>
      <c r="R132" s="6">
        <f>IF('Model inputs'!R88="","",'Model inputs'!R88)</f>
        <v>56.25</v>
      </c>
      <c r="S132" s="6">
        <f>IF('Model inputs'!S88="","",'Model inputs'!S88)</f>
        <v>56.25</v>
      </c>
      <c r="T132" s="6">
        <f>IF('Model inputs'!T88="","",'Model inputs'!T88)</f>
        <v>56.25</v>
      </c>
      <c r="U132" s="6">
        <f>IF('Model inputs'!U88="","",'Model inputs'!U88)</f>
        <v>56.25</v>
      </c>
      <c r="V132" s="6">
        <f>IF('Model inputs'!V88="","",'Model inputs'!V88)</f>
        <v>56.25</v>
      </c>
      <c r="W132" s="6">
        <f>IF('Model inputs'!W88="","",'Model inputs'!W88)</f>
        <v>56.25</v>
      </c>
      <c r="X132" s="6">
        <f>IF('Model inputs'!X88="","",'Model inputs'!X88)</f>
        <v>56.25</v>
      </c>
      <c r="Y132" s="6">
        <f>IF('Model inputs'!Y88="","",'Model inputs'!Y88)</f>
        <v>56.25</v>
      </c>
      <c r="Z132" s="6">
        <f>IF('Model inputs'!Z88="","",'Model inputs'!Z88)</f>
        <v>56.25</v>
      </c>
      <c r="AA132" s="6">
        <f>IF('Model inputs'!AA88="","",'Model inputs'!AA88)</f>
        <v>56.25</v>
      </c>
      <c r="AB132" s="6">
        <f>IF('Model inputs'!AB88="","",'Model inputs'!AB88)</f>
        <v>56.25</v>
      </c>
      <c r="AC132" s="6">
        <f>IF('Model inputs'!AC88="","",'Model inputs'!AC88)</f>
        <v>56.25</v>
      </c>
      <c r="AD132" s="6">
        <f>IF('Model inputs'!AD88="","",'Model inputs'!AD88)</f>
        <v>56.25</v>
      </c>
      <c r="AE132" s="6">
        <f>IF('Model inputs'!AE88="","",'Model inputs'!AE88)</f>
        <v>56.25</v>
      </c>
      <c r="AF132" s="6">
        <f>IF('Model inputs'!AF88="","",'Model inputs'!AF88)</f>
        <v>56.25</v>
      </c>
      <c r="AG132" s="6">
        <f>IF('Model inputs'!AG88="","",'Model inputs'!AG88)</f>
        <v>56.25</v>
      </c>
      <c r="AH132" s="6">
        <f>IF('Model inputs'!AH88="","",'Model inputs'!AH88)</f>
        <v>56.25</v>
      </c>
      <c r="AI132" s="6">
        <f>IF('Model inputs'!AI88="","",'Model inputs'!AI88)</f>
        <v>56.25</v>
      </c>
    </row>
    <row r="133" outlineLevel="1">
      <c r="A133" t="inlineStr" s="23">
        <is>
          <t xml:space="preserve">Onboarding cost &gt; Growing shop</t>
        </is>
      </c>
      <c r="C133" s="9">
        <f>0</f>
        <v>0</v>
      </c>
      <c r="D133" s="9">
        <f>0</f>
        <v>0</v>
      </c>
      <c r="E133" s="9">
        <f>0</f>
        <v>0</v>
      </c>
      <c r="F133" s="9">
        <f>0</f>
        <v>0</v>
      </c>
      <c r="G133" s="9">
        <f>0</f>
        <v>0</v>
      </c>
      <c r="H133" s="9">
        <f>0</f>
        <v>0</v>
      </c>
      <c r="I133" s="9">
        <f>0</f>
        <v>0</v>
      </c>
      <c r="J133" s="9">
        <f>0</f>
        <v>0</v>
      </c>
      <c r="K133" s="9">
        <f>IF('Model inputs'!K89="","",'Model inputs'!K89)</f>
        <v>0</v>
      </c>
      <c r="L133" s="9">
        <f>IF('Model inputs'!L89="","",'Model inputs'!L89)</f>
        <v>18.75</v>
      </c>
      <c r="M133" s="9">
        <f>IF('Model inputs'!M89="","",'Model inputs'!M89)</f>
        <v>18.75</v>
      </c>
      <c r="N133" s="9">
        <f>IF('Model inputs'!N89="","",'Model inputs'!N89)</f>
        <v>18.75</v>
      </c>
      <c r="O133" s="9">
        <f>IF('Model inputs'!O89="","",'Model inputs'!O89)</f>
        <v>18.75</v>
      </c>
      <c r="P133" s="9">
        <f>IF('Model inputs'!P89="","",'Model inputs'!P89)</f>
        <v>18.75</v>
      </c>
      <c r="Q133" s="9">
        <f>IF('Model inputs'!Q89="","",'Model inputs'!Q89)</f>
        <v>18.75</v>
      </c>
      <c r="R133" s="9">
        <f>IF('Model inputs'!R89="","",'Model inputs'!R89)</f>
        <v>18.75</v>
      </c>
      <c r="S133" s="9">
        <f>IF('Model inputs'!S89="","",'Model inputs'!S89)</f>
        <v>18.75</v>
      </c>
      <c r="T133" s="9">
        <f>IF('Model inputs'!T89="","",'Model inputs'!T89)</f>
        <v>18.75</v>
      </c>
      <c r="U133" s="9">
        <f>IF('Model inputs'!U89="","",'Model inputs'!U89)</f>
        <v>18.75</v>
      </c>
      <c r="V133" s="9">
        <f>IF('Model inputs'!V89="","",'Model inputs'!V89)</f>
        <v>18.75</v>
      </c>
      <c r="W133" s="9">
        <f>IF('Model inputs'!W89="","",'Model inputs'!W89)</f>
        <v>18.75</v>
      </c>
      <c r="X133" s="9">
        <f>IF('Model inputs'!X89="","",'Model inputs'!X89)</f>
        <v>18.75</v>
      </c>
      <c r="Y133" s="9">
        <f>IF('Model inputs'!Y89="","",'Model inputs'!Y89)</f>
        <v>18.75</v>
      </c>
      <c r="Z133" s="9">
        <f>IF('Model inputs'!Z89="","",'Model inputs'!Z89)</f>
        <v>18.75</v>
      </c>
      <c r="AA133" s="9">
        <f>IF('Model inputs'!AA89="","",'Model inputs'!AA89)</f>
        <v>18.75</v>
      </c>
      <c r="AB133" s="9">
        <f>IF('Model inputs'!AB89="","",'Model inputs'!AB89)</f>
        <v>18.75</v>
      </c>
      <c r="AC133" s="9">
        <f>IF('Model inputs'!AC89="","",'Model inputs'!AC89)</f>
        <v>18.75</v>
      </c>
      <c r="AD133" s="9">
        <f>IF('Model inputs'!AD89="","",'Model inputs'!AD89)</f>
        <v>18.75</v>
      </c>
      <c r="AE133" s="9">
        <f>IF('Model inputs'!AE89="","",'Model inputs'!AE89)</f>
        <v>18.75</v>
      </c>
      <c r="AF133" s="9">
        <f>IF('Model inputs'!AF89="","",'Model inputs'!AF89)</f>
        <v>18.75</v>
      </c>
      <c r="AG133" s="9">
        <f>IF('Model inputs'!AG89="","",'Model inputs'!AG89)</f>
        <v>18.75</v>
      </c>
      <c r="AH133" s="9">
        <f>IF('Model inputs'!AH89="","",'Model inputs'!AH89)</f>
        <v>18.75</v>
      </c>
      <c r="AI133" s="9">
        <f>IF('Model inputs'!AI89="","",'Model inputs'!AI89)</f>
        <v>18.75</v>
      </c>
    </row>
    <row r="134" outlineLevel="1">
      <c r="A134" t="inlineStr" s="23">
        <is>
          <t xml:space="preserve">Onboarding cost &gt; Small shop</t>
        </is>
      </c>
      <c r="C134" s="9">
        <f>0</f>
        <v>0</v>
      </c>
      <c r="D134" s="9">
        <f>0</f>
        <v>0</v>
      </c>
      <c r="E134" s="9">
        <f>0</f>
        <v>0</v>
      </c>
      <c r="F134" s="9">
        <f>0</f>
        <v>0</v>
      </c>
      <c r="G134" s="9">
        <f>0</f>
        <v>0</v>
      </c>
      <c r="H134" s="9">
        <f>0</f>
        <v>0</v>
      </c>
      <c r="I134" s="9">
        <f>0</f>
        <v>0</v>
      </c>
      <c r="J134" s="9">
        <f>0</f>
        <v>0</v>
      </c>
      <c r="K134" s="9">
        <f>IF('Model inputs'!K90="","",'Model inputs'!K90)</f>
        <v>0</v>
      </c>
      <c r="L134" s="9">
        <f>IF('Model inputs'!L90="","",'Model inputs'!L90)</f>
        <v>37.5</v>
      </c>
      <c r="M134" s="9">
        <f>IF('Model inputs'!M90="","",'Model inputs'!M90)</f>
        <v>37.5</v>
      </c>
      <c r="N134" s="9">
        <f>IF('Model inputs'!N90="","",'Model inputs'!N90)</f>
        <v>37.5</v>
      </c>
      <c r="O134" s="9">
        <f>IF('Model inputs'!O90="","",'Model inputs'!O90)</f>
        <v>37.5</v>
      </c>
      <c r="P134" s="9">
        <f>IF('Model inputs'!P90="","",'Model inputs'!P90)</f>
        <v>37.5</v>
      </c>
      <c r="Q134" s="9">
        <f>IF('Model inputs'!Q90="","",'Model inputs'!Q90)</f>
        <v>37.5</v>
      </c>
      <c r="R134" s="9">
        <f>IF('Model inputs'!R90="","",'Model inputs'!R90)</f>
        <v>37.5</v>
      </c>
      <c r="S134" s="9">
        <f>IF('Model inputs'!S90="","",'Model inputs'!S90)</f>
        <v>37.5</v>
      </c>
      <c r="T134" s="9">
        <f>IF('Model inputs'!T90="","",'Model inputs'!T90)</f>
        <v>37.5</v>
      </c>
      <c r="U134" s="9">
        <f>IF('Model inputs'!U90="","",'Model inputs'!U90)</f>
        <v>37.5</v>
      </c>
      <c r="V134" s="9">
        <f>IF('Model inputs'!V90="","",'Model inputs'!V90)</f>
        <v>37.5</v>
      </c>
      <c r="W134" s="9">
        <f>IF('Model inputs'!W90="","",'Model inputs'!W90)</f>
        <v>37.5</v>
      </c>
      <c r="X134" s="9">
        <f>IF('Model inputs'!X90="","",'Model inputs'!X90)</f>
        <v>37.5</v>
      </c>
      <c r="Y134" s="9">
        <f>IF('Model inputs'!Y90="","",'Model inputs'!Y90)</f>
        <v>37.5</v>
      </c>
      <c r="Z134" s="9">
        <f>IF('Model inputs'!Z90="","",'Model inputs'!Z90)</f>
        <v>37.5</v>
      </c>
      <c r="AA134" s="9">
        <f>IF('Model inputs'!AA90="","",'Model inputs'!AA90)</f>
        <v>37.5</v>
      </c>
      <c r="AB134" s="9">
        <f>IF('Model inputs'!AB90="","",'Model inputs'!AB90)</f>
        <v>37.5</v>
      </c>
      <c r="AC134" s="9">
        <f>IF('Model inputs'!AC90="","",'Model inputs'!AC90)</f>
        <v>37.5</v>
      </c>
      <c r="AD134" s="9">
        <f>IF('Model inputs'!AD90="","",'Model inputs'!AD90)</f>
        <v>37.5</v>
      </c>
      <c r="AE134" s="9">
        <f>IF('Model inputs'!AE90="","",'Model inputs'!AE90)</f>
        <v>37.5</v>
      </c>
      <c r="AF134" s="9">
        <f>IF('Model inputs'!AF90="","",'Model inputs'!AF90)</f>
        <v>37.5</v>
      </c>
      <c r="AG134" s="9">
        <f>IF('Model inputs'!AG90="","",'Model inputs'!AG90)</f>
        <v>37.5</v>
      </c>
      <c r="AH134" s="9">
        <f>IF('Model inputs'!AH90="","",'Model inputs'!AH90)</f>
        <v>37.5</v>
      </c>
      <c r="AI134" s="9">
        <f>IF('Model inputs'!AI90="","",'Model inputs'!AI90)</f>
        <v>37.5</v>
      </c>
    </row>
    <row r="135">
      <c r="A135" t="inlineStr" s="22">
        <is>
          <t xml:space="preserve">Founder payroll</t>
        </is>
      </c>
      <c r="C135" s="6">
        <f>SUM('Model inputs'!C136)</f>
        <v>0</v>
      </c>
      <c r="D135" s="6">
        <f>SUM('Model inputs'!D136)</f>
        <v>0</v>
      </c>
      <c r="E135" s="6">
        <f>SUM('Model inputs'!E136)</f>
        <v>0</v>
      </c>
      <c r="F135" s="6">
        <f>SUM('Model inputs'!F136)</f>
        <v>0</v>
      </c>
      <c r="G135" s="6">
        <f>SUM('Model inputs'!G136)</f>
        <v>0</v>
      </c>
      <c r="H135" s="6">
        <f>SUM('Model inputs'!H136)</f>
        <v>0</v>
      </c>
      <c r="I135" s="6">
        <f>SUM('Model inputs'!I136)</f>
        <v>0</v>
      </c>
      <c r="J135" s="6">
        <f>SUM('Model inputs'!J136)</f>
        <v>0</v>
      </c>
      <c r="K135" s="6">
        <f>IF('Model inputs'!K112="","",'Model inputs'!K112)</f>
        <v>0</v>
      </c>
      <c r="L135" s="6">
        <f>IF('Model inputs'!L112="","",'Model inputs'!L112)</f>
        <v>0</v>
      </c>
      <c r="M135" s="6">
        <f>IF('Model inputs'!M112="","",'Model inputs'!M112)</f>
        <v>0</v>
      </c>
      <c r="N135" s="6">
        <f>IF('Model inputs'!N112="","",'Model inputs'!N112)</f>
        <v>0</v>
      </c>
      <c r="O135" s="6">
        <f>IF('Model inputs'!O112="","",'Model inputs'!O112)</f>
        <v>2000</v>
      </c>
      <c r="P135" s="6">
        <f>IF('Model inputs'!P112="","",'Model inputs'!P112)</f>
        <v>2000</v>
      </c>
      <c r="Q135" s="6">
        <f>IF('Model inputs'!Q112="","",'Model inputs'!Q112)</f>
        <v>2000</v>
      </c>
      <c r="R135" s="6">
        <f>IF('Model inputs'!R112="","",'Model inputs'!R112)</f>
        <v>2000</v>
      </c>
      <c r="S135" s="6">
        <f>IF('Model inputs'!S112="","",'Model inputs'!S112)</f>
        <v>2000</v>
      </c>
      <c r="T135" s="6">
        <f>IF('Model inputs'!T112="","",'Model inputs'!T112)</f>
        <v>2000</v>
      </c>
      <c r="U135" s="6">
        <f>IF('Model inputs'!U112="","",'Model inputs'!U112)</f>
        <v>2000</v>
      </c>
      <c r="V135" s="6">
        <f>IF('Model inputs'!V112="","",'Model inputs'!V112)</f>
        <v>2000</v>
      </c>
      <c r="W135" s="6">
        <f>IF('Model inputs'!W112="","",'Model inputs'!W112)</f>
        <v>2000</v>
      </c>
      <c r="X135" s="6">
        <f>IF('Model inputs'!X112="","",'Model inputs'!X112)</f>
        <v>2000</v>
      </c>
      <c r="Y135" s="6">
        <f>IF('Model inputs'!Y112="","",'Model inputs'!Y112)</f>
        <v>2000</v>
      </c>
      <c r="Z135" s="6">
        <f>IF('Model inputs'!Z112="","",'Model inputs'!Z112)</f>
        <v>2000</v>
      </c>
      <c r="AA135" s="6">
        <f>IF('Model inputs'!AA112="","",'Model inputs'!AA112)</f>
        <v>2000</v>
      </c>
      <c r="AB135" s="6">
        <f>IF('Model inputs'!AB112="","",'Model inputs'!AB112)</f>
        <v>2000</v>
      </c>
      <c r="AC135" s="6">
        <f>IF('Model inputs'!AC112="","",'Model inputs'!AC112)</f>
        <v>2000</v>
      </c>
      <c r="AD135" s="6">
        <f>IF('Model inputs'!AD112="","",'Model inputs'!AD112)</f>
        <v>2000</v>
      </c>
      <c r="AE135" s="6">
        <f>IF('Model inputs'!AE112="","",'Model inputs'!AE112)</f>
        <v>2000</v>
      </c>
      <c r="AF135" s="6">
        <f>IF('Model inputs'!AF112="","",'Model inputs'!AF112)</f>
        <v>2000</v>
      </c>
      <c r="AG135" s="6">
        <f>IF('Model inputs'!AG112="","",'Model inputs'!AG112)</f>
        <v>2000</v>
      </c>
      <c r="AH135" s="6">
        <f>IF('Model inputs'!AH112="","",'Model inputs'!AH112)</f>
        <v>2000</v>
      </c>
      <c r="AI135" s="6">
        <f>IF('Model inputs'!AI112="","",'Model inputs'!AI112)</f>
        <v>2000</v>
      </c>
    </row>
    <row r="136" outlineLevel="1">
      <c r="A136" t="inlineStr" s="23">
        <is>
          <t xml:space="preserve">Founder payroll &gt; Placeholder founder 1</t>
        </is>
      </c>
      <c r="C136" s="9">
        <f>0</f>
        <v>0</v>
      </c>
      <c r="D136" s="9">
        <f>0</f>
        <v>0</v>
      </c>
      <c r="E136" s="9">
        <f>0</f>
        <v>0</v>
      </c>
      <c r="F136" s="9">
        <f>0</f>
        <v>0</v>
      </c>
      <c r="G136" s="9">
        <f>0</f>
        <v>0</v>
      </c>
      <c r="H136" s="9">
        <f>0</f>
        <v>0</v>
      </c>
      <c r="I136" s="9">
        <f>0</f>
        <v>0</v>
      </c>
      <c r="J136" s="9">
        <f>0</f>
        <v>0</v>
      </c>
      <c r="K136" s="9">
        <f>IF('Model inputs'!K113="","",'Model inputs'!K113)</f>
        <v>0</v>
      </c>
      <c r="L136" s="9">
        <f>IF('Model inputs'!L113="","",'Model inputs'!L113)</f>
        <v>0</v>
      </c>
      <c r="M136" s="9">
        <f>IF('Model inputs'!M113="","",'Model inputs'!M113)</f>
        <v>0</v>
      </c>
      <c r="N136" s="9">
        <f>IF('Model inputs'!N113="","",'Model inputs'!N113)</f>
        <v>0</v>
      </c>
      <c r="O136" s="9">
        <f>IF('Model inputs'!O113="","",'Model inputs'!O113)</f>
        <v>2000</v>
      </c>
      <c r="P136" s="9">
        <f>IF('Model inputs'!P113="","",'Model inputs'!P113)</f>
        <v>2000</v>
      </c>
      <c r="Q136" s="9">
        <f>IF('Model inputs'!Q113="","",'Model inputs'!Q113)</f>
        <v>2000</v>
      </c>
      <c r="R136" s="9">
        <f>IF('Model inputs'!R113="","",'Model inputs'!R113)</f>
        <v>2000</v>
      </c>
      <c r="S136" s="9">
        <f>IF('Model inputs'!S113="","",'Model inputs'!S113)</f>
        <v>2000</v>
      </c>
      <c r="T136" s="9">
        <f>IF('Model inputs'!T113="","",'Model inputs'!T113)</f>
        <v>2000</v>
      </c>
      <c r="U136" s="9">
        <f>IF('Model inputs'!U113="","",'Model inputs'!U113)</f>
        <v>2000</v>
      </c>
      <c r="V136" s="9">
        <f>IF('Model inputs'!V113="","",'Model inputs'!V113)</f>
        <v>2000</v>
      </c>
      <c r="W136" s="9">
        <f>IF('Model inputs'!W113="","",'Model inputs'!W113)</f>
        <v>2000</v>
      </c>
      <c r="X136" s="9">
        <f>IF('Model inputs'!X113="","",'Model inputs'!X113)</f>
        <v>2000</v>
      </c>
      <c r="Y136" s="9">
        <f>IF('Model inputs'!Y113="","",'Model inputs'!Y113)</f>
        <v>2000</v>
      </c>
      <c r="Z136" s="9">
        <f>IF('Model inputs'!Z113="","",'Model inputs'!Z113)</f>
        <v>2000</v>
      </c>
      <c r="AA136" s="9">
        <f>IF('Model inputs'!AA113="","",'Model inputs'!AA113)</f>
        <v>2000</v>
      </c>
      <c r="AB136" s="9">
        <f>IF('Model inputs'!AB113="","",'Model inputs'!AB113)</f>
        <v>2000</v>
      </c>
      <c r="AC136" s="9">
        <f>IF('Model inputs'!AC113="","",'Model inputs'!AC113)</f>
        <v>2000</v>
      </c>
      <c r="AD136" s="9">
        <f>IF('Model inputs'!AD113="","",'Model inputs'!AD113)</f>
        <v>2000</v>
      </c>
      <c r="AE136" s="9">
        <f>IF('Model inputs'!AE113="","",'Model inputs'!AE113)</f>
        <v>2000</v>
      </c>
      <c r="AF136" s="9">
        <f>IF('Model inputs'!AF113="","",'Model inputs'!AF113)</f>
        <v>2000</v>
      </c>
      <c r="AG136" s="9">
        <f>IF('Model inputs'!AG113="","",'Model inputs'!AG113)</f>
        <v>2000</v>
      </c>
      <c r="AH136" s="9">
        <f>IF('Model inputs'!AH113="","",'Model inputs'!AH113)</f>
        <v>2000</v>
      </c>
      <c r="AI136" s="9">
        <f>IF('Model inputs'!AI113="","",'Model inputs'!AI113)</f>
        <v>2000</v>
      </c>
    </row>
    <row r="137">
      <c r="A137" t="inlineStr" s="22">
        <is>
          <t xml:space="preserve">Merchant support cost</t>
        </is>
      </c>
      <c r="C137" s="6">
        <f>SUM('Model inputs'!C138,'Model inputs'!C139)</f>
        <v>0</v>
      </c>
      <c r="D137" s="6">
        <f>SUM('Model inputs'!D138,'Model inputs'!D139)</f>
        <v>0</v>
      </c>
      <c r="E137" s="6">
        <f>SUM('Model inputs'!E138,'Model inputs'!E139)</f>
        <v>0</v>
      </c>
      <c r="F137" s="6">
        <f>SUM('Model inputs'!F138,'Model inputs'!F139)</f>
        <v>0</v>
      </c>
      <c r="G137" s="6">
        <f>SUM('Model inputs'!G138,'Model inputs'!G139)</f>
        <v>0</v>
      </c>
      <c r="H137" s="6">
        <f>SUM('Model inputs'!H138,'Model inputs'!H139)</f>
        <v>0</v>
      </c>
      <c r="I137" s="6">
        <f>SUM('Model inputs'!I138,'Model inputs'!I139)</f>
        <v>0</v>
      </c>
      <c r="J137" s="6">
        <f>SUM('Model inputs'!J138,'Model inputs'!J139)</f>
        <v>0</v>
      </c>
      <c r="K137" s="6">
        <f>IF('Model inputs'!K103="","",'Model inputs'!K103)</f>
        <v>0</v>
      </c>
      <c r="L137" s="6">
        <f>IF('Model inputs'!L103="","",'Model inputs'!L103)</f>
        <v>67.3125</v>
      </c>
      <c r="M137" s="6">
        <f>IF('Model inputs'!M103="","",'Model inputs'!M103)</f>
        <v>78.10062500000001</v>
      </c>
      <c r="N137" s="6">
        <f>IF('Model inputs'!N103="","",'Model inputs'!N103)</f>
        <v>88.62145625000001</v>
      </c>
      <c r="O137" s="6">
        <f>IF('Model inputs'!O103="","",'Model inputs'!O103)</f>
        <v>98.8818855625</v>
      </c>
      <c r="P137" s="6">
        <f>IF('Model inputs'!P103="","",'Model inputs'!P103)</f>
        <v>108.888620535625</v>
      </c>
      <c r="Q137" s="6">
        <f>IF('Model inputs'!Q103="","",'Model inputs'!Q103)</f>
        <v>118.64818962875623</v>
      </c>
      <c r="R137" s="6">
        <f>IF('Model inputs'!R103="","",'Model inputs'!R103)</f>
        <v>128.16694709490955</v>
      </c>
      <c r="S137" s="6">
        <f>IF('Model inputs'!S103="","",'Model inputs'!S103)</f>
        <v>137.45107777397794</v>
      </c>
      <c r="T137" s="6">
        <f>IF('Model inputs'!T103="","",'Model inputs'!T103)</f>
        <v>146.50660175083598</v>
      </c>
      <c r="U137" s="6">
        <f>IF('Model inputs'!U103="","",'Model inputs'!U103)</f>
        <v>155.33937888218674</v>
      </c>
      <c r="V137" s="6">
        <f>IF('Model inputs'!V103="","",'Model inputs'!V103)</f>
        <v>163.95511319591944</v>
      </c>
      <c r="W137" s="6">
        <f>IF('Model inputs'!W103="","",'Model inputs'!W103)</f>
        <v>172.3593571666362</v>
      </c>
      <c r="X137" s="6">
        <f>IF('Model inputs'!X103="","",'Model inputs'!X103)</f>
        <v>180.55751587089955</v>
      </c>
      <c r="Y137" s="6">
        <f>IF('Model inputs'!Y103="","",'Model inputs'!Y103)</f>
        <v>188.55485102564978</v>
      </c>
      <c r="Z137" s="6">
        <f>IF('Model inputs'!Z103="","",'Model inputs'!Z103)</f>
        <v>196.35648491313992</v>
      </c>
      <c r="AA137" s="6">
        <f>IF('Model inputs'!AA103="","",'Model inputs'!AA103)</f>
        <v>203.9674041956402</v>
      </c>
      <c r="AB137" s="6">
        <f>IF('Model inputs'!AB103="","",'Model inputs'!AB103)</f>
        <v>211.39246362306756</v>
      </c>
      <c r="AC137" s="6">
        <f>IF('Model inputs'!AC103="","",'Model inputs'!AC103)</f>
        <v>218.6363896366062</v>
      </c>
      <c r="AD137" s="6">
        <f>IF('Model inputs'!AD103="","",'Model inputs'!AD103)</f>
        <v>225.70378387129404</v>
      </c>
      <c r="AE137" s="6">
        <f>IF('Model inputs'!AE103="","",'Model inputs'!AE103)</f>
        <v>232.59912656046555</v>
      </c>
      <c r="AF137" s="6">
        <f>IF('Model inputs'!AF103="","",'Model inputs'!AF103)</f>
        <v>239.32677984485565</v>
      </c>
      <c r="AG137" s="6">
        <f>IF('Model inputs'!AG103="","",'Model inputs'!AG103)</f>
        <v>245.89099098909</v>
      </c>
      <c r="AH137" s="6">
        <f>IF('Model inputs'!AH103="","",'Model inputs'!AH103)</f>
        <v>252.29589550820572</v>
      </c>
      <c r="AI137" s="6">
        <f>IF('Model inputs'!AI103="","",'Model inputs'!AI103)</f>
        <v>258.5455202067722</v>
      </c>
    </row>
    <row r="138" outlineLevel="1">
      <c r="A138" t="inlineStr" s="23">
        <is>
          <t xml:space="preserve">Merchant support cost &gt; Growing shop</t>
        </is>
      </c>
      <c r="C138" s="9">
        <f>0</f>
        <v>0</v>
      </c>
      <c r="D138" s="9">
        <f>0</f>
        <v>0</v>
      </c>
      <c r="E138" s="9">
        <f>0</f>
        <v>0</v>
      </c>
      <c r="F138" s="9">
        <f>0</f>
        <v>0</v>
      </c>
      <c r="G138" s="9">
        <f>0</f>
        <v>0</v>
      </c>
      <c r="H138" s="9">
        <f>0</f>
        <v>0</v>
      </c>
      <c r="I138" s="9">
        <f>0</f>
        <v>0</v>
      </c>
      <c r="J138" s="9">
        <f>0</f>
        <v>0</v>
      </c>
      <c r="K138" s="9">
        <f>IF('Model inputs'!K104="","",'Model inputs'!K104)</f>
        <v>0</v>
      </c>
      <c r="L138" s="9">
        <f>IF('Model inputs'!L104="","",'Model inputs'!L104)</f>
        <v>30.75</v>
      </c>
      <c r="M138" s="9">
        <f>IF('Model inputs'!M104="","",'Model inputs'!M104)</f>
        <v>36.385</v>
      </c>
      <c r="N138" s="9">
        <f>IF('Model inputs'!N104="","",'Model inputs'!N104)</f>
        <v>41.907300000000006</v>
      </c>
      <c r="O138" s="9">
        <f>IF('Model inputs'!O104="","",'Model inputs'!O104)</f>
        <v>47.319154000000005</v>
      </c>
      <c r="P138" s="9">
        <f>IF('Model inputs'!P104="","",'Model inputs'!P104)</f>
        <v>52.622770919999994</v>
      </c>
      <c r="Q138" s="9">
        <f>IF('Model inputs'!Q104="","",'Model inputs'!Q104)</f>
        <v>57.82031550159999</v>
      </c>
      <c r="R138" s="9">
        <f>IF('Model inputs'!R104="","",'Model inputs'!R104)</f>
        <v>62.91390919156798</v>
      </c>
      <c r="S138" s="9">
        <f>IF('Model inputs'!S104="","",'Model inputs'!S104)</f>
        <v>67.90563100773663</v>
      </c>
      <c r="T138" s="9">
        <f>IF('Model inputs'!T104="","",'Model inputs'!T104)</f>
        <v>72.7975183875819</v>
      </c>
      <c r="U138" s="9">
        <f>IF('Model inputs'!U104="","",'Model inputs'!U104)</f>
        <v>77.59156801983028</v>
      </c>
      <c r="V138" s="9">
        <f>IF('Model inputs'!V104="","",'Model inputs'!V104)</f>
        <v>82.28973665943367</v>
      </c>
      <c r="W138" s="9">
        <f>IF('Model inputs'!W104="","",'Model inputs'!W104)</f>
        <v>86.89394192624499</v>
      </c>
      <c r="X138" s="9">
        <f>IF('Model inputs'!X104="","",'Model inputs'!X104)</f>
        <v>91.40606308772009</v>
      </c>
      <c r="Y138" s="9">
        <f>IF('Model inputs'!Y104="","",'Model inputs'!Y104)</f>
        <v>95.8279418259657</v>
      </c>
      <c r="Z138" s="9">
        <f>IF('Model inputs'!Z104="","",'Model inputs'!Z104)</f>
        <v>100.16138298944637</v>
      </c>
      <c r="AA138" s="9">
        <f>IF('Model inputs'!AA104="","",'Model inputs'!AA104)</f>
        <v>104.40815532965743</v>
      </c>
      <c r="AB138" s="9">
        <f>IF('Model inputs'!AB104="","",'Model inputs'!AB104)</f>
        <v>108.56999222306429</v>
      </c>
      <c r="AC138" s="9">
        <f>IF('Model inputs'!AC104="","",'Model inputs'!AC104)</f>
        <v>112.64859237860301</v>
      </c>
      <c r="AD138" s="9">
        <f>IF('Model inputs'!AD104="","",'Model inputs'!AD104)</f>
        <v>116.64562053103094</v>
      </c>
      <c r="AE138" s="9">
        <f>IF('Model inputs'!AE104="","",'Model inputs'!AE104)</f>
        <v>120.56270812041035</v>
      </c>
      <c r="AF138" s="9">
        <f>IF('Model inputs'!AF104="","",'Model inputs'!AF104)</f>
        <v>124.40145395800212</v>
      </c>
      <c r="AG138" s="9">
        <f>IF('Model inputs'!AG104="","",'Model inputs'!AG104)</f>
        <v>128.16342487884208</v>
      </c>
      <c r="AH138" s="9">
        <f>IF('Model inputs'!AH104="","",'Model inputs'!AH104)</f>
        <v>131.85015638126524</v>
      </c>
      <c r="AI138" s="9">
        <f>IF('Model inputs'!AI104="","",'Model inputs'!AI104)</f>
        <v>135.46315325363994</v>
      </c>
    </row>
    <row r="139" outlineLevel="1">
      <c r="A139" t="inlineStr" s="23">
        <is>
          <t xml:space="preserve">Merchant support cost &gt; Small shop</t>
        </is>
      </c>
      <c r="C139" s="9">
        <f>0</f>
        <v>0</v>
      </c>
      <c r="D139" s="9">
        <f>0</f>
        <v>0</v>
      </c>
      <c r="E139" s="9">
        <f>0</f>
        <v>0</v>
      </c>
      <c r="F139" s="9">
        <f>0</f>
        <v>0</v>
      </c>
      <c r="G139" s="9">
        <f>0</f>
        <v>0</v>
      </c>
      <c r="H139" s="9">
        <f>0</f>
        <v>0</v>
      </c>
      <c r="I139" s="9">
        <f>0</f>
        <v>0</v>
      </c>
      <c r="J139" s="9">
        <f>0</f>
        <v>0</v>
      </c>
      <c r="K139" s="9">
        <f>IF('Model inputs'!K105="","",'Model inputs'!K105)</f>
        <v>0</v>
      </c>
      <c r="L139" s="9">
        <f>IF('Model inputs'!L105="","",'Model inputs'!L105)</f>
        <v>36.5625</v>
      </c>
      <c r="M139" s="9">
        <f>IF('Model inputs'!M105="","",'Model inputs'!M105)</f>
        <v>41.715625</v>
      </c>
      <c r="N139" s="9">
        <f>IF('Model inputs'!N105="","",'Model inputs'!N105)</f>
        <v>46.71415625</v>
      </c>
      <c r="O139" s="9">
        <f>IF('Model inputs'!O105="","",'Model inputs'!O105)</f>
        <v>51.5627315625</v>
      </c>
      <c r="P139" s="9">
        <f>IF('Model inputs'!P105="","",'Model inputs'!P105)</f>
        <v>56.265849615624994</v>
      </c>
      <c r="Q139" s="9">
        <f>IF('Model inputs'!Q105="","",'Model inputs'!Q105)</f>
        <v>60.82787412715624</v>
      </c>
      <c r="R139" s="9">
        <f>IF('Model inputs'!R105="","",'Model inputs'!R105)</f>
        <v>65.25303790334156</v>
      </c>
      <c r="S139" s="9">
        <f>IF('Model inputs'!S105="","",'Model inputs'!S105)</f>
        <v>69.54544676624131</v>
      </c>
      <c r="T139" s="9">
        <f>IF('Model inputs'!T105="","",'Model inputs'!T105)</f>
        <v>73.70908336325408</v>
      </c>
      <c r="U139" s="9">
        <f>IF('Model inputs'!U105="","",'Model inputs'!U105)</f>
        <v>77.74781086235646</v>
      </c>
      <c r="V139" s="9">
        <f>IF('Model inputs'!V105="","",'Model inputs'!V105)</f>
        <v>81.66537653648577</v>
      </c>
      <c r="W139" s="9">
        <f>IF('Model inputs'!W105="","",'Model inputs'!W105)</f>
        <v>85.4654152403912</v>
      </c>
      <c r="X139" s="9">
        <f>IF('Model inputs'!X105="","",'Model inputs'!X105)</f>
        <v>89.15145278317947</v>
      </c>
      <c r="Y139" s="9">
        <f>IF('Model inputs'!Y105="","",'Model inputs'!Y105)</f>
        <v>92.72690919968409</v>
      </c>
      <c r="Z139" s="9">
        <f>IF('Model inputs'!Z105="","",'Model inputs'!Z105)</f>
        <v>96.19510192369356</v>
      </c>
      <c r="AA139" s="9">
        <f>IF('Model inputs'!AA105="","",'Model inputs'!AA105)</f>
        <v>99.55924886598275</v>
      </c>
      <c r="AB139" s="9">
        <f>IF('Model inputs'!AB105="","",'Model inputs'!AB105)</f>
        <v>102.82247140000327</v>
      </c>
      <c r="AC139" s="9">
        <f>IF('Model inputs'!AC105="","",'Model inputs'!AC105)</f>
        <v>105.98779725800318</v>
      </c>
      <c r="AD139" s="9">
        <f>IF('Model inputs'!AD105="","",'Model inputs'!AD105)</f>
        <v>109.05816334026308</v>
      </c>
      <c r="AE139" s="9">
        <f>IF('Model inputs'!AE105="","",'Model inputs'!AE105)</f>
        <v>112.03641844005519</v>
      </c>
      <c r="AF139" s="9">
        <f>IF('Model inputs'!AF105="","",'Model inputs'!AF105)</f>
        <v>114.92532588685353</v>
      </c>
      <c r="AG139" s="9">
        <f>IF('Model inputs'!AG105="","",'Model inputs'!AG105)</f>
        <v>117.72756611024792</v>
      </c>
      <c r="AH139" s="9">
        <f>IF('Model inputs'!AH105="","",'Model inputs'!AH105)</f>
        <v>120.4457391269405</v>
      </c>
      <c r="AI139" s="9">
        <f>IF('Model inputs'!AI105="","",'Model inputs'!AI105)</f>
        <v>123.08236695313228</v>
      </c>
    </row>
    <row r="140">
      <c r="A140" t="inlineStr" s="22">
        <is>
          <t xml:space="preserve">Infrastructure variable cost</t>
        </is>
      </c>
      <c r="C140" s="6">
        <f>SUM('Model inputs'!C141,'Model inputs'!C142)</f>
        <v>0</v>
      </c>
      <c r="D140" s="6">
        <f>SUM('Model inputs'!D141,'Model inputs'!D142)</f>
        <v>0</v>
      </c>
      <c r="E140" s="6">
        <f>SUM('Model inputs'!E141,'Model inputs'!E142)</f>
        <v>0</v>
      </c>
      <c r="F140" s="6">
        <f>SUM('Model inputs'!F141,'Model inputs'!F142)</f>
        <v>0</v>
      </c>
      <c r="G140" s="6">
        <f>SUM('Model inputs'!G141,'Model inputs'!G142)</f>
        <v>0</v>
      </c>
      <c r="H140" s="6">
        <f>SUM('Model inputs'!H141,'Model inputs'!H142)</f>
        <v>0</v>
      </c>
      <c r="I140" s="6">
        <f>SUM('Model inputs'!I141,'Model inputs'!I142)</f>
        <v>0</v>
      </c>
      <c r="J140" s="6">
        <f>SUM('Model inputs'!J141,'Model inputs'!J142)</f>
        <v>0</v>
      </c>
      <c r="K140" s="6">
        <f>IF('Model inputs'!K94="","",'Model inputs'!K94)</f>
        <v>0</v>
      </c>
      <c r="L140" s="6">
        <f>IF('Model inputs'!L94="","",'Model inputs'!L94)</f>
        <v>8.309999999999999</v>
      </c>
      <c r="M140" s="6">
        <f>IF('Model inputs'!M94="","",'Model inputs'!M94)</f>
        <v>9.5853</v>
      </c>
      <c r="N140" s="6">
        <f>IF('Model inputs'!N94="","",'Model inputs'!N94)</f>
        <v>10.826849</v>
      </c>
      <c r="O140" s="6">
        <f>IF('Model inputs'!O94="","",'Model inputs'!O94)</f>
        <v>12.03556937</v>
      </c>
      <c r="P140" s="6">
        <f>IF('Model inputs'!P94="","",'Model inputs'!P94)</f>
        <v>13.2123576121</v>
      </c>
      <c r="Q140" s="6">
        <f>IF('Model inputs'!Q94="","",'Model inputs'!Q94)</f>
        <v>14.358085100472998</v>
      </c>
      <c r="R140" s="6">
        <f>IF('Model inputs'!R94="","",'Model inputs'!R94)</f>
        <v>15.473598799860088</v>
      </c>
      <c r="S140" s="6">
        <f>IF('Model inputs'!S94="","",'Model inputs'!S94)</f>
        <v>16.55972196321754</v>
      </c>
      <c r="T140" s="6">
        <f>IF('Model inputs'!T94="","",'Model inputs'!T94)</f>
        <v>17.617254809127203</v>
      </c>
      <c r="U140" s="6">
        <f>IF('Model inputs'!U94="","",'Model inputs'!U94)</f>
        <v>18.646975179563455</v>
      </c>
      <c r="V140" s="6">
        <f>IF('Model inputs'!V94="","",'Model inputs'!V94)</f>
        <v>19.649639178592416</v>
      </c>
      <c r="W140" s="6">
        <f>IF('Model inputs'!W94="","",'Model inputs'!W94)</f>
        <v>20.62598179256219</v>
      </c>
      <c r="X140" s="6">
        <f>IF('Model inputs'!X94="","",'Model inputs'!X94)</f>
        <v>21.57671749232632</v>
      </c>
      <c r="Y140" s="6">
        <f>IF('Model inputs'!Y94="","",'Model inputs'!Y94)</f>
        <v>22.50254081802671</v>
      </c>
      <c r="Z140" s="6">
        <f>IF('Model inputs'!Z94="","",'Model inputs'!Z94)</f>
        <v>23.40412694694668</v>
      </c>
      <c r="AA140" s="6">
        <f>IF('Model inputs'!AA94="","",'Model inputs'!AA94)</f>
        <v>24.282132244929834</v>
      </c>
      <c r="AB140" s="6">
        <f>IF('Model inputs'!AB94="","",'Model inputs'!AB94)</f>
        <v>25.137194801845666</v>
      </c>
      <c r="AC140" s="6">
        <f>IF('Model inputs'!AC94="","",'Model inputs'!AC94)</f>
        <v>25.96993495156875</v>
      </c>
      <c r="AD140" s="6">
        <f>IF('Model inputs'!AD94="","",'Model inputs'!AD94)</f>
        <v>26.78095577692457</v>
      </c>
      <c r="AE140" s="6">
        <f>IF('Model inputs'!AE94="","",'Model inputs'!AE94)</f>
        <v>27.570843600041655</v>
      </c>
      <c r="AF140" s="6">
        <f>IF('Model inputs'!AF94="","",'Model inputs'!AF94)</f>
        <v>28.340168458536738</v>
      </c>
      <c r="AG140" s="6">
        <f>IF('Model inputs'!AG94="","",'Model inputs'!AG94)</f>
        <v>29.089484567947036</v>
      </c>
      <c r="AH140" s="6">
        <f>IF('Model inputs'!AH94="","",'Model inputs'!AH94)</f>
        <v>29.8193307708117</v>
      </c>
      <c r="AI140" s="6">
        <f>IF('Model inputs'!AI94="","",'Model inputs'!AI94)</f>
        <v>30.53023097279236</v>
      </c>
    </row>
    <row r="141" outlineLevel="1">
      <c r="A141" t="inlineStr" s="23">
        <is>
          <t xml:space="preserve">Infrastructure variable cost &gt; Growing shop</t>
        </is>
      </c>
      <c r="C141" s="9">
        <f>0</f>
        <v>0</v>
      </c>
      <c r="D141" s="9">
        <f>0</f>
        <v>0</v>
      </c>
      <c r="E141" s="9">
        <f>0</f>
        <v>0</v>
      </c>
      <c r="F141" s="9">
        <f>0</f>
        <v>0</v>
      </c>
      <c r="G141" s="9">
        <f>0</f>
        <v>0</v>
      </c>
      <c r="H141" s="9">
        <f>0</f>
        <v>0</v>
      </c>
      <c r="I141" s="9">
        <f>0</f>
        <v>0</v>
      </c>
      <c r="J141" s="9">
        <f>0</f>
        <v>0</v>
      </c>
      <c r="K141" s="9">
        <f>IF('Model inputs'!K95="","",'Model inputs'!K95)</f>
        <v>0</v>
      </c>
      <c r="L141" s="9">
        <f>IF('Model inputs'!L95="","",'Model inputs'!L95)</f>
        <v>2.46</v>
      </c>
      <c r="M141" s="9">
        <f>IF('Model inputs'!M95="","",'Model inputs'!M95)</f>
        <v>2.9108</v>
      </c>
      <c r="N141" s="9">
        <f>IF('Model inputs'!N95="","",'Model inputs'!N95)</f>
        <v>3.3525840000000002</v>
      </c>
      <c r="O141" s="9">
        <f>IF('Model inputs'!O95="","",'Model inputs'!O95)</f>
        <v>3.78553232</v>
      </c>
      <c r="P141" s="9">
        <f>IF('Model inputs'!P95="","",'Model inputs'!P95)</f>
        <v>4.2098216736</v>
      </c>
      <c r="Q141" s="9">
        <f>IF('Model inputs'!Q95="","",'Model inputs'!Q95)</f>
        <v>4.625625240128</v>
      </c>
      <c r="R141" s="9">
        <f>IF('Model inputs'!R95="","",'Model inputs'!R95)</f>
        <v>5.03311273532544</v>
      </c>
      <c r="S141" s="9">
        <f>IF('Model inputs'!S95="","",'Model inputs'!S95)</f>
        <v>5.432450480618931</v>
      </c>
      <c r="T141" s="9">
        <f>IF('Model inputs'!T95="","",'Model inputs'!T95)</f>
        <v>5.823801471006552</v>
      </c>
      <c r="U141" s="9">
        <f>IF('Model inputs'!U95="","",'Model inputs'!U95)</f>
        <v>6.207325441586422</v>
      </c>
      <c r="V141" s="9">
        <f>IF('Model inputs'!V95="","",'Model inputs'!V95)</f>
        <v>6.583178932754693</v>
      </c>
      <c r="W141" s="9">
        <f>IF('Model inputs'!W95="","",'Model inputs'!W95)</f>
        <v>6.951515354099599</v>
      </c>
      <c r="X141" s="9">
        <f>IF('Model inputs'!X95="","",'Model inputs'!X95)</f>
        <v>7.312485047017607</v>
      </c>
      <c r="Y141" s="9">
        <f>IF('Model inputs'!Y95="","",'Model inputs'!Y95)</f>
        <v>7.666235346077255</v>
      </c>
      <c r="Z141" s="9">
        <f>IF('Model inputs'!Z95="","",'Model inputs'!Z95)</f>
        <v>8.01291063915571</v>
      </c>
      <c r="AA141" s="9">
        <f>IF('Model inputs'!AA95="","",'Model inputs'!AA95)</f>
        <v>8.352652426372595</v>
      </c>
      <c r="AB141" s="9">
        <f>IF('Model inputs'!AB95="","",'Model inputs'!AB95)</f>
        <v>8.685599377845143</v>
      </c>
      <c r="AC141" s="9">
        <f>IF('Model inputs'!AC95="","",'Model inputs'!AC95)</f>
        <v>9.01188739028824</v>
      </c>
      <c r="AD141" s="9">
        <f>IF('Model inputs'!AD95="","",'Model inputs'!AD95)</f>
        <v>9.331649642482477</v>
      </c>
      <c r="AE141" s="9">
        <f>IF('Model inputs'!AE95="","",'Model inputs'!AE95)</f>
        <v>9.645016649632828</v>
      </c>
      <c r="AF141" s="9">
        <f>IF('Model inputs'!AF95="","",'Model inputs'!AF95)</f>
        <v>9.95211631664017</v>
      </c>
      <c r="AG141" s="9">
        <f>IF('Model inputs'!AG95="","",'Model inputs'!AG95)</f>
        <v>10.253073990307367</v>
      </c>
      <c r="AH141" s="9">
        <f>IF('Model inputs'!AH95="","",'Model inputs'!AH95)</f>
        <v>10.54801251050122</v>
      </c>
      <c r="AI141" s="9">
        <f>IF('Model inputs'!AI95="","",'Model inputs'!AI95)</f>
        <v>10.837052260291195</v>
      </c>
    </row>
    <row r="142" outlineLevel="1">
      <c r="A142" t="inlineStr" s="23">
        <is>
          <t xml:space="preserve">Infrastructure variable cost &gt; Small shop</t>
        </is>
      </c>
      <c r="C142" s="9">
        <f>0</f>
        <v>0</v>
      </c>
      <c r="D142" s="9">
        <f>0</f>
        <v>0</v>
      </c>
      <c r="E142" s="9">
        <f>0</f>
        <v>0</v>
      </c>
      <c r="F142" s="9">
        <f>0</f>
        <v>0</v>
      </c>
      <c r="G142" s="9">
        <f>0</f>
        <v>0</v>
      </c>
      <c r="H142" s="9">
        <f>0</f>
        <v>0</v>
      </c>
      <c r="I142" s="9">
        <f>0</f>
        <v>0</v>
      </c>
      <c r="J142" s="9">
        <f>0</f>
        <v>0</v>
      </c>
      <c r="K142" s="9">
        <f>IF('Model inputs'!K96="","",'Model inputs'!K96)</f>
        <v>0</v>
      </c>
      <c r="L142" s="9">
        <f>IF('Model inputs'!L96="","",'Model inputs'!L96)</f>
        <v>5.85</v>
      </c>
      <c r="M142" s="9">
        <f>IF('Model inputs'!M96="","",'Model inputs'!M96)</f>
        <v>6.6745</v>
      </c>
      <c r="N142" s="9">
        <f>IF('Model inputs'!N96="","",'Model inputs'!N96)</f>
        <v>7.474265</v>
      </c>
      <c r="O142" s="9">
        <f>IF('Model inputs'!O96="","",'Model inputs'!O96)</f>
        <v>8.25003705</v>
      </c>
      <c r="P142" s="9">
        <f>IF('Model inputs'!P96="","",'Model inputs'!P96)</f>
        <v>9.0025359385</v>
      </c>
      <c r="Q142" s="9">
        <f>IF('Model inputs'!Q96="","",'Model inputs'!Q96)</f>
        <v>9.732459860345</v>
      </c>
      <c r="R142" s="9">
        <f>IF('Model inputs'!R96="","",'Model inputs'!R96)</f>
        <v>10.44048606453465</v>
      </c>
      <c r="S142" s="9">
        <f>IF('Model inputs'!S96="","",'Model inputs'!S96)</f>
        <v>11.12727148259861</v>
      </c>
      <c r="T142" s="9">
        <f>IF('Model inputs'!T96="","",'Model inputs'!T96)</f>
        <v>11.793453338120653</v>
      </c>
      <c r="U142" s="9">
        <f>IF('Model inputs'!U96="","",'Model inputs'!U96)</f>
        <v>12.439649737977033</v>
      </c>
      <c r="V142" s="9">
        <f>IF('Model inputs'!V96="","",'Model inputs'!V96)</f>
        <v>13.066460245837723</v>
      </c>
      <c r="W142" s="9">
        <f>IF('Model inputs'!W96="","",'Model inputs'!W96)</f>
        <v>13.674466438462591</v>
      </c>
      <c r="X142" s="9">
        <f>IF('Model inputs'!X96="","",'Model inputs'!X96)</f>
        <v>14.264232445308714</v>
      </c>
      <c r="Y142" s="9">
        <f>IF('Model inputs'!Y96="","",'Model inputs'!Y96)</f>
        <v>14.836305471949453</v>
      </c>
      <c r="Z142" s="9">
        <f>IF('Model inputs'!Z96="","",'Model inputs'!Z96)</f>
        <v>15.39121630779097</v>
      </c>
      <c r="AA142" s="9">
        <f>IF('Model inputs'!AA96="","",'Model inputs'!AA96)</f>
        <v>15.92947981855724</v>
      </c>
      <c r="AB142" s="9">
        <f>IF('Model inputs'!AB96="","",'Model inputs'!AB96)</f>
        <v>16.451595424000523</v>
      </c>
      <c r="AC142" s="9">
        <f>IF('Model inputs'!AC96="","",'Model inputs'!AC96)</f>
        <v>16.95804756128051</v>
      </c>
      <c r="AD142" s="9">
        <f>IF('Model inputs'!AD96="","",'Model inputs'!AD96)</f>
        <v>17.449306134442093</v>
      </c>
      <c r="AE142" s="9">
        <f>IF('Model inputs'!AE96="","",'Model inputs'!AE96)</f>
        <v>17.92582695040883</v>
      </c>
      <c r="AF142" s="9">
        <f>IF('Model inputs'!AF96="","",'Model inputs'!AF96)</f>
        <v>18.388052141896566</v>
      </c>
      <c r="AG142" s="9">
        <f>IF('Model inputs'!AG96="","",'Model inputs'!AG96)</f>
        <v>18.83641057763967</v>
      </c>
      <c r="AH142" s="9">
        <f>IF('Model inputs'!AH96="","",'Model inputs'!AH96)</f>
        <v>19.27131826031048</v>
      </c>
      <c r="AI142" s="9">
        <f>IF('Model inputs'!AI96="","",'Model inputs'!AI96)</f>
        <v>19.693178712501165</v>
      </c>
    </row>
    <row r="143">
      <c r="A143" t="inlineStr" s="22">
        <is>
          <t xml:space="preserve">Subscription revenue</t>
        </is>
      </c>
      <c r="C143" s="10">
        <f>SUM('Model inputs'!C144,'Model inputs'!C145)</f>
        <v>0</v>
      </c>
      <c r="D143" s="10">
        <f>SUM('Model inputs'!D144,'Model inputs'!D145)</f>
        <v>0</v>
      </c>
      <c r="E143" s="10">
        <f>SUM('Model inputs'!E144,'Model inputs'!E145)</f>
        <v>0</v>
      </c>
      <c r="F143" s="10">
        <f>SUM('Model inputs'!F144,'Model inputs'!F145)</f>
        <v>0</v>
      </c>
      <c r="G143" s="10">
        <f>SUM('Model inputs'!G144,'Model inputs'!G145)</f>
        <v>0</v>
      </c>
      <c r="H143" s="10">
        <f>SUM('Model inputs'!H144,'Model inputs'!H145)</f>
        <v>0</v>
      </c>
      <c r="I143" s="10">
        <f>SUM('Model inputs'!I144,'Model inputs'!I145)</f>
        <v>0</v>
      </c>
      <c r="J143" s="10">
        <f>SUM('Model inputs'!J144,'Model inputs'!J145)</f>
        <v>0</v>
      </c>
      <c r="K143" s="10">
        <f>IF('Model inputs'!K91="","",'Model inputs'!K91)</f>
        <v>0</v>
      </c>
      <c r="L143" s="10">
        <f>IF('Model inputs'!L91="","",'Model inputs'!L91)</f>
        <v>407.18999999999994</v>
      </c>
      <c r="M143" s="10">
        <f>IF('Model inputs'!M91="","",'Model inputs'!M91)</f>
        <v>469.6797</v>
      </c>
      <c r="N143" s="10">
        <f>IF('Model inputs'!N91="","",'Model inputs'!N91)</f>
        <v>530.5156010000001</v>
      </c>
      <c r="O143" s="10">
        <f>IF('Model inputs'!O91="","",'Model inputs'!O91)</f>
        <v>589.74289913</v>
      </c>
      <c r="P143" s="10">
        <f>IF('Model inputs'!P91="","",'Model inputs'!P91)</f>
        <v>647.4055229928999</v>
      </c>
      <c r="Q143" s="10">
        <f>IF('Model inputs'!Q91="","",'Model inputs'!Q91)</f>
        <v>703.5461699231769</v>
      </c>
      <c r="R143" s="10">
        <f>IF('Model inputs'!R91="","",'Model inputs'!R91)</f>
        <v>758.2063411931443</v>
      </c>
      <c r="S143" s="10">
        <f>IF('Model inputs'!S91="","",'Model inputs'!S91)</f>
        <v>811.4263761976595</v>
      </c>
      <c r="T143" s="10">
        <f>IF('Model inputs'!T91="","",'Model inputs'!T91)</f>
        <v>863.245485647233</v>
      </c>
      <c r="U143" s="10">
        <f>IF('Model inputs'!U91="","",'Model inputs'!U91)</f>
        <v>913.7017837986093</v>
      </c>
      <c r="V143" s="10">
        <f>IF('Model inputs'!V91="","",'Model inputs'!V91)</f>
        <v>962.8323197510284</v>
      </c>
      <c r="W143" s="10">
        <f>IF('Model inputs'!W91="","",'Model inputs'!W91)</f>
        <v>1010.6731078355474</v>
      </c>
      <c r="X143" s="10">
        <f>IF('Model inputs'!X91="","",'Model inputs'!X91)</f>
        <v>1057.2591571239898</v>
      </c>
      <c r="Y143" s="10">
        <f>IF('Model inputs'!Y91="","",'Model inputs'!Y91)</f>
        <v>1102.6245000833087</v>
      </c>
      <c r="Z143" s="10">
        <f>IF('Model inputs'!Z91="","",'Model inputs'!Z91)</f>
        <v>1146.8022204003873</v>
      </c>
      <c r="AA143" s="10">
        <f>IF('Model inputs'!AA91="","",'Model inputs'!AA91)</f>
        <v>1189.8244800015618</v>
      </c>
      <c r="AB143" s="10">
        <f>IF('Model inputs'!AB91="","",'Model inputs'!AB91)</f>
        <v>1231.7225452904377</v>
      </c>
      <c r="AC143" s="10">
        <f>IF('Model inputs'!AC91="","",'Model inputs'!AC91)</f>
        <v>1272.5268126268688</v>
      </c>
      <c r="AD143" s="10">
        <f>IF('Model inputs'!AD91="","",'Model inputs'!AD91)</f>
        <v>1312.2668330693039</v>
      </c>
      <c r="AE143" s="10">
        <f>IF('Model inputs'!AE91="","",'Model inputs'!AE91)</f>
        <v>1350.9713364020413</v>
      </c>
      <c r="AF143" s="10">
        <f>IF('Model inputs'!AF91="","",'Model inputs'!AF91)</f>
        <v>1388.6682544683</v>
      </c>
      <c r="AG143" s="10">
        <f>IF('Model inputs'!AG91="","",'Model inputs'!AG91)</f>
        <v>1425.3847438294047</v>
      </c>
      <c r="AH143" s="10">
        <f>IF('Model inputs'!AH91="","",'Model inputs'!AH91)</f>
        <v>1461.1472077697733</v>
      </c>
      <c r="AI143" s="10">
        <f>IF('Model inputs'!AI91="","",'Model inputs'!AI91)</f>
        <v>1495.9813176668258</v>
      </c>
    </row>
    <row r="144" outlineLevel="1">
      <c r="A144" t="inlineStr" s="23">
        <is>
          <t xml:space="preserve">Subscription revenue &gt; Growing shop</t>
        </is>
      </c>
      <c r="C144" s="8">
        <f>0</f>
        <v>0</v>
      </c>
      <c r="D144" s="8">
        <f>0</f>
        <v>0</v>
      </c>
      <c r="E144" s="8">
        <f>0</f>
        <v>0</v>
      </c>
      <c r="F144" s="8">
        <f>0</f>
        <v>0</v>
      </c>
      <c r="G144" s="8">
        <f>0</f>
        <v>0</v>
      </c>
      <c r="H144" s="8">
        <f>0</f>
        <v>0</v>
      </c>
      <c r="I144" s="8">
        <f>0</f>
        <v>0</v>
      </c>
      <c r="J144" s="8">
        <f>0</f>
        <v>0</v>
      </c>
      <c r="K144" s="8">
        <f>IF('Model inputs'!K92="","",'Model inputs'!K92)</f>
        <v>0</v>
      </c>
      <c r="L144" s="8">
        <f>IF('Model inputs'!L92="","",'Model inputs'!L92)</f>
        <v>120.53999999999999</v>
      </c>
      <c r="M144" s="8">
        <f>IF('Model inputs'!M92="","",'Model inputs'!M92)</f>
        <v>142.6292</v>
      </c>
      <c r="N144" s="8">
        <f>IF('Model inputs'!N92="","",'Model inputs'!N92)</f>
        <v>164.27661600000002</v>
      </c>
      <c r="O144" s="8">
        <f>IF('Model inputs'!O92="","",'Model inputs'!O92)</f>
        <v>185.49108368</v>
      </c>
      <c r="P144" s="8">
        <f>IF('Model inputs'!P92="","",'Model inputs'!P92)</f>
        <v>206.28126200639997</v>
      </c>
      <c r="Q144" s="8">
        <f>IF('Model inputs'!Q92="","",'Model inputs'!Q92)</f>
        <v>226.65563676627198</v>
      </c>
      <c r="R144" s="8">
        <f>IF('Model inputs'!R92="","",'Model inputs'!R92)</f>
        <v>246.62252403094655</v>
      </c>
      <c r="S144" s="8">
        <f>IF('Model inputs'!S92="","",'Model inputs'!S92)</f>
        <v>266.1900735503276</v>
      </c>
      <c r="T144" s="8">
        <f>IF('Model inputs'!T92="","",'Model inputs'!T92)</f>
        <v>285.36627207932105</v>
      </c>
      <c r="U144" s="8">
        <f>IF('Model inputs'!U92="","",'Model inputs'!U92)</f>
        <v>304.1589466377347</v>
      </c>
      <c r="V144" s="8">
        <f>IF('Model inputs'!V92="","",'Model inputs'!V92)</f>
        <v>322.57576770497997</v>
      </c>
      <c r="W144" s="8">
        <f>IF('Model inputs'!W92="","",'Model inputs'!W92)</f>
        <v>340.62425235088034</v>
      </c>
      <c r="X144" s="8">
        <f>IF('Model inputs'!X92="","",'Model inputs'!X92)</f>
        <v>358.3117673038628</v>
      </c>
      <c r="Y144" s="8">
        <f>IF('Model inputs'!Y92="","",'Model inputs'!Y92)</f>
        <v>375.6455319577855</v>
      </c>
      <c r="Z144" s="8">
        <f>IF('Model inputs'!Z92="","",'Model inputs'!Z92)</f>
        <v>392.6326213186298</v>
      </c>
      <c r="AA144" s="8">
        <f>IF('Model inputs'!AA92="","",'Model inputs'!AA92)</f>
        <v>409.27996889225716</v>
      </c>
      <c r="AB144" s="8">
        <f>IF('Model inputs'!AB92="","",'Model inputs'!AB92)</f>
        <v>425.59436951441205</v>
      </c>
      <c r="AC144" s="8">
        <f>IF('Model inputs'!AC92="","",'Model inputs'!AC92)</f>
        <v>441.58248212412377</v>
      </c>
      <c r="AD144" s="8">
        <f>IF('Model inputs'!AD92="","",'Model inputs'!AD92)</f>
        <v>457.25083248164134</v>
      </c>
      <c r="AE144" s="8">
        <f>IF('Model inputs'!AE92="","",'Model inputs'!AE92)</f>
        <v>472.60581583200855</v>
      </c>
      <c r="AF144" s="8">
        <f>IF('Model inputs'!AF92="","",'Model inputs'!AF92)</f>
        <v>487.6536995153683</v>
      </c>
      <c r="AG144" s="8">
        <f>IF('Model inputs'!AG92="","",'Model inputs'!AG92)</f>
        <v>502.400625525061</v>
      </c>
      <c r="AH144" s="8">
        <f>IF('Model inputs'!AH92="","",'Model inputs'!AH92)</f>
        <v>516.8526130145598</v>
      </c>
      <c r="AI144" s="8">
        <f>IF('Model inputs'!AI92="","",'Model inputs'!AI92)</f>
        <v>531.0155607542686</v>
      </c>
    </row>
    <row r="145" outlineLevel="1">
      <c r="A145" t="inlineStr" s="23">
        <is>
          <t xml:space="preserve">Subscription revenue &gt; Small shop</t>
        </is>
      </c>
      <c r="C145" s="8">
        <f>0</f>
        <v>0</v>
      </c>
      <c r="D145" s="8">
        <f>0</f>
        <v>0</v>
      </c>
      <c r="E145" s="8">
        <f>0</f>
        <v>0</v>
      </c>
      <c r="F145" s="8">
        <f>0</f>
        <v>0</v>
      </c>
      <c r="G145" s="8">
        <f>0</f>
        <v>0</v>
      </c>
      <c r="H145" s="8">
        <f>0</f>
        <v>0</v>
      </c>
      <c r="I145" s="8">
        <f>0</f>
        <v>0</v>
      </c>
      <c r="J145" s="8">
        <f>0</f>
        <v>0</v>
      </c>
      <c r="K145" s="8">
        <f>IF('Model inputs'!K93="","",'Model inputs'!K93)</f>
        <v>0</v>
      </c>
      <c r="L145" s="8">
        <f>IF('Model inputs'!L93="","",'Model inputs'!L93)</f>
        <v>286.65</v>
      </c>
      <c r="M145" s="8">
        <f>IF('Model inputs'!M93="","",'Model inputs'!M93)</f>
        <v>327.0505</v>
      </c>
      <c r="N145" s="8">
        <f>IF('Model inputs'!N93="","",'Model inputs'!N93)</f>
        <v>366.238985</v>
      </c>
      <c r="O145" s="8">
        <f>IF('Model inputs'!O93="","",'Model inputs'!O93)</f>
        <v>404.25181545</v>
      </c>
      <c r="P145" s="8">
        <f>IF('Model inputs'!P93="","",'Model inputs'!P93)</f>
        <v>441.12426098649996</v>
      </c>
      <c r="Q145" s="8">
        <f>IF('Model inputs'!Q93="","",'Model inputs'!Q93)</f>
        <v>476.89053315690495</v>
      </c>
      <c r="R145" s="8">
        <f>IF('Model inputs'!R93="","",'Model inputs'!R93)</f>
        <v>511.5838171621978</v>
      </c>
      <c r="S145" s="8">
        <f>IF('Model inputs'!S93="","",'Model inputs'!S93)</f>
        <v>545.2363026473319</v>
      </c>
      <c r="T145" s="8">
        <f>IF('Model inputs'!T93="","",'Model inputs'!T93)</f>
        <v>577.879213567912</v>
      </c>
      <c r="U145" s="8">
        <f>IF('Model inputs'!U93="","",'Model inputs'!U93)</f>
        <v>609.5428371608747</v>
      </c>
      <c r="V145" s="8">
        <f>IF('Model inputs'!V93="","",'Model inputs'!V93)</f>
        <v>640.2565520460485</v>
      </c>
      <c r="W145" s="8">
        <f>IF('Model inputs'!W93="","",'Model inputs'!W93)</f>
        <v>670.048855484667</v>
      </c>
      <c r="X145" s="8">
        <f>IF('Model inputs'!X93="","",'Model inputs'!X93)</f>
        <v>698.947389820127</v>
      </c>
      <c r="Y145" s="8">
        <f>IF('Model inputs'!Y93="","",'Model inputs'!Y93)</f>
        <v>726.9789681255232</v>
      </c>
      <c r="Z145" s="8">
        <f>IF('Model inputs'!Z93="","",'Model inputs'!Z93)</f>
        <v>754.1695990817575</v>
      </c>
      <c r="AA145" s="8">
        <f>IF('Model inputs'!AA93="","",'Model inputs'!AA93)</f>
        <v>780.5445111093047</v>
      </c>
      <c r="AB145" s="8">
        <f>IF('Model inputs'!AB93="","",'Model inputs'!AB93)</f>
        <v>806.1281757760256</v>
      </c>
      <c r="AC145" s="8">
        <f>IF('Model inputs'!AC93="","",'Model inputs'!AC93)</f>
        <v>830.944330502745</v>
      </c>
      <c r="AD145" s="8">
        <f>IF('Model inputs'!AD93="","",'Model inputs'!AD93)</f>
        <v>855.0160005876626</v>
      </c>
      <c r="AE145" s="8">
        <f>IF('Model inputs'!AE93="","",'Model inputs'!AE93)</f>
        <v>878.3655205700327</v>
      </c>
      <c r="AF145" s="8">
        <f>IF('Model inputs'!AF93="","",'Model inputs'!AF93)</f>
        <v>901.0145549529317</v>
      </c>
      <c r="AG145" s="8">
        <f>IF('Model inputs'!AG93="","",'Model inputs'!AG93)</f>
        <v>922.9841183043437</v>
      </c>
      <c r="AH145" s="8">
        <f>IF('Model inputs'!AH93="","",'Model inputs'!AH93)</f>
        <v>944.2945947552136</v>
      </c>
      <c r="AI145" s="8">
        <f>IF('Model inputs'!AI93="","",'Model inputs'!AI93)</f>
        <v>964.9657569125571</v>
      </c>
    </row>
    <row r="146">
      <c r="A146" t="inlineStr" s="22">
        <is>
          <t xml:space="preserve">Inference cost</t>
        </is>
      </c>
      <c r="C146" s="6">
        <f>SUM('Model inputs'!C147,'Model inputs'!C148)</f>
        <v>0</v>
      </c>
      <c r="D146" s="6">
        <f>SUM('Model inputs'!D147,'Model inputs'!D148)</f>
        <v>0</v>
      </c>
      <c r="E146" s="6">
        <f>SUM('Model inputs'!E147,'Model inputs'!E148)</f>
        <v>0</v>
      </c>
      <c r="F146" s="6">
        <f>SUM('Model inputs'!F147,'Model inputs'!F148)</f>
        <v>0</v>
      </c>
      <c r="G146" s="6">
        <f>SUM('Model inputs'!G147,'Model inputs'!G148)</f>
        <v>0</v>
      </c>
      <c r="H146" s="6">
        <f>SUM('Model inputs'!H147,'Model inputs'!H148)</f>
        <v>0</v>
      </c>
      <c r="I146" s="6">
        <f>SUM('Model inputs'!I147,'Model inputs'!I148)</f>
        <v>0</v>
      </c>
      <c r="J146" s="6">
        <f>SUM('Model inputs'!J147,'Model inputs'!J148)</f>
        <v>0</v>
      </c>
      <c r="K146" s="6">
        <f>IF('Model inputs'!K114="","",'Model inputs'!K114)</f>
        <v>0</v>
      </c>
      <c r="L146" s="6">
        <f>IF('Model inputs'!L114="","",'Model inputs'!L114)</f>
        <v>58.16699999999999</v>
      </c>
      <c r="M146" s="6">
        <f>IF('Model inputs'!M114="","",'Model inputs'!M114)</f>
        <v>67.80147</v>
      </c>
      <c r="N146" s="6">
        <f>IF('Model inputs'!N114="","",'Model inputs'!N114)</f>
        <v>77.2091163</v>
      </c>
      <c r="O146" s="6">
        <f>IF('Model inputs'!O114="","",'Model inputs'!O114)</f>
        <v>86.395499403</v>
      </c>
      <c r="P146" s="6">
        <f>IF('Model inputs'!P114="","",'Model inputs'!P114)</f>
        <v>95.36603788106999</v>
      </c>
      <c r="Q146" s="6">
        <f>IF('Model inputs'!Q114="","",'Model inputs'!Q114)</f>
        <v>104.12601213559469</v>
      </c>
      <c r="R146" s="6">
        <f>IF('Model inputs'!R114="","",'Model inputs'!R114)</f>
        <v>112.68056805466452</v>
      </c>
      <c r="S146" s="6">
        <f>IF('Model inputs'!S114="","",'Model inputs'!S114)</f>
        <v>121.03472057049949</v>
      </c>
      <c r="T146" s="6">
        <f>IF('Model inputs'!T114="","",'Model inputs'!T114)</f>
        <v>129.1933571197099</v>
      </c>
      <c r="U146" s="6">
        <f>IF('Model inputs'!U114="","",'Model inputs'!U114)</f>
        <v>137.16124100911753</v>
      </c>
      <c r="V146" s="6">
        <f>IF('Model inputs'!V114="","",'Model inputs'!V114)</f>
        <v>144.94301468978296</v>
      </c>
      <c r="W146" s="6">
        <f>IF('Model inputs'!W114="","",'Model inputs'!W114)</f>
        <v>152.5432029418096</v>
      </c>
      <c r="X146" s="6">
        <f>IF('Model inputs'!X114="","",'Model inputs'!X114)</f>
        <v>159.96621597242105</v>
      </c>
      <c r="Y146" s="6">
        <f>IF('Model inputs'!Y114="","",'Model inputs'!Y114)</f>
        <v>167.21635242973684</v>
      </c>
      <c r="Z146" s="6">
        <f>IF('Model inputs'!Z114="","",'Model inputs'!Z114)</f>
        <v>174.2978023346034</v>
      </c>
      <c r="AA146" s="6">
        <f>IF('Model inputs'!AA114="","",'Model inputs'!AA114)</f>
        <v>181.21464993276876</v>
      </c>
      <c r="AB146" s="6">
        <f>IF('Model inputs'!AB114="","",'Model inputs'!AB114)</f>
        <v>187.97087646962513</v>
      </c>
      <c r="AC146" s="6">
        <f>IF('Model inputs'!AC114="","",'Model inputs'!AC114)</f>
        <v>194.57036288967902</v>
      </c>
      <c r="AD146" s="6">
        <f>IF('Model inputs'!AD114="","",'Model inputs'!AD114)</f>
        <v>201.01689246284843</v>
      </c>
      <c r="AE146" s="6">
        <f>IF('Model inputs'!AE114="","",'Model inputs'!AE114)</f>
        <v>207.3141533396256</v>
      </c>
      <c r="AF146" s="6">
        <f>IF('Model inputs'!AF114="","",'Model inputs'!AF114)</f>
        <v>213.46574103708613</v>
      </c>
      <c r="AG146" s="6">
        <f>IF('Model inputs'!AG114="","",'Model inputs'!AG114)</f>
        <v>219.47516085766986</v>
      </c>
      <c r="AH146" s="6">
        <f>IF('Model inputs'!AH114="","",'Model inputs'!AH114)</f>
        <v>225.34583024260218</v>
      </c>
      <c r="AI146" s="6">
        <f>IF('Model inputs'!AI114="","",'Model inputs'!AI114)</f>
        <v>231.08108106177332</v>
      </c>
    </row>
    <row r="147" outlineLevel="1">
      <c r="A147" t="inlineStr" s="23">
        <is>
          <t xml:space="preserve">Inference cost &gt; Growing shop</t>
        </is>
      </c>
      <c r="C147" s="9">
        <f>0</f>
        <v>0</v>
      </c>
      <c r="D147" s="9">
        <f>0</f>
        <v>0</v>
      </c>
      <c r="E147" s="9">
        <f>0</f>
        <v>0</v>
      </c>
      <c r="F147" s="9">
        <f>0</f>
        <v>0</v>
      </c>
      <c r="G147" s="9">
        <f>0</f>
        <v>0</v>
      </c>
      <c r="H147" s="9">
        <f>0</f>
        <v>0</v>
      </c>
      <c r="I147" s="9">
        <f>0</f>
        <v>0</v>
      </c>
      <c r="J147" s="9">
        <f>0</f>
        <v>0</v>
      </c>
      <c r="K147" s="9">
        <f>IF('Model inputs'!K115="","",'Model inputs'!K115)</f>
        <v>0</v>
      </c>
      <c r="L147" s="9">
        <f>IF('Model inputs'!L115="","",'Model inputs'!L115)</f>
        <v>33.94799999999999</v>
      </c>
      <c r="M147" s="9">
        <f>IF('Model inputs'!M115="","",'Model inputs'!M115)</f>
        <v>40.169039999999995</v>
      </c>
      <c r="N147" s="9">
        <f>IF('Model inputs'!N115="","",'Model inputs'!N115)</f>
        <v>46.26565920000001</v>
      </c>
      <c r="O147" s="9">
        <f>IF('Model inputs'!O115="","",'Model inputs'!O115)</f>
        <v>52.240346016000004</v>
      </c>
      <c r="P147" s="9">
        <f>IF('Model inputs'!P115="","",'Model inputs'!P115)</f>
        <v>58.09553909567999</v>
      </c>
      <c r="Q147" s="9">
        <f>IF('Model inputs'!Q115="","",'Model inputs'!Q115)</f>
        <v>63.83362831376638</v>
      </c>
      <c r="R147" s="9">
        <f>IF('Model inputs'!R115="","",'Model inputs'!R115)</f>
        <v>69.45695574749107</v>
      </c>
      <c r="S147" s="9">
        <f>IF('Model inputs'!S115="","",'Model inputs'!S115)</f>
        <v>74.96781663254124</v>
      </c>
      <c r="T147" s="9">
        <f>IF('Model inputs'!T115="","",'Model inputs'!T115)</f>
        <v>80.36846029989042</v>
      </c>
      <c r="U147" s="9">
        <f>IF('Model inputs'!U115="","",'Model inputs'!U115)</f>
        <v>85.66109109389262</v>
      </c>
      <c r="V147" s="9">
        <f>IF('Model inputs'!V115="","",'Model inputs'!V115)</f>
        <v>90.84786927201478</v>
      </c>
      <c r="W147" s="9">
        <f>IF('Model inputs'!W115="","",'Model inputs'!W115)</f>
        <v>95.93091188657446</v>
      </c>
      <c r="X147" s="9">
        <f>IF('Model inputs'!X115="","",'Model inputs'!X115)</f>
        <v>100.91229364884298</v>
      </c>
      <c r="Y147" s="9">
        <f>IF('Model inputs'!Y115="","",'Model inputs'!Y115)</f>
        <v>105.79404777586612</v>
      </c>
      <c r="Z147" s="9">
        <f>IF('Model inputs'!Z115="","",'Model inputs'!Z115)</f>
        <v>110.57816682034878</v>
      </c>
      <c r="AA147" s="9">
        <f>IF('Model inputs'!AA115="","",'Model inputs'!AA115)</f>
        <v>115.2666034839418</v>
      </c>
      <c r="AB147" s="9">
        <f>IF('Model inputs'!AB115="","",'Model inputs'!AB115)</f>
        <v>119.86127141426297</v>
      </c>
      <c r="AC147" s="9">
        <f>IF('Model inputs'!AC115="","",'Model inputs'!AC115)</f>
        <v>124.36404598597773</v>
      </c>
      <c r="AD147" s="9">
        <f>IF('Model inputs'!AD115="","",'Model inputs'!AD115)</f>
        <v>128.77676506625818</v>
      </c>
      <c r="AE147" s="9">
        <f>IF('Model inputs'!AE115="","",'Model inputs'!AE115)</f>
        <v>133.10122976493304</v>
      </c>
      <c r="AF147" s="9">
        <f>IF('Model inputs'!AF115="","",'Model inputs'!AF115)</f>
        <v>137.33920516963434</v>
      </c>
      <c r="AG147" s="9">
        <f>IF('Model inputs'!AG115="","",'Model inputs'!AG115)</f>
        <v>141.49242106624163</v>
      </c>
      <c r="AH147" s="9">
        <f>IF('Model inputs'!AH115="","",'Model inputs'!AH115)</f>
        <v>145.5625726449168</v>
      </c>
      <c r="AI147" s="9">
        <f>IF('Model inputs'!AI115="","",'Model inputs'!AI115)</f>
        <v>149.5513211920185</v>
      </c>
    </row>
    <row r="148" outlineLevel="1">
      <c r="A148" t="inlineStr" s="23">
        <is>
          <t xml:space="preserve">Inference cost &gt; Small shop</t>
        </is>
      </c>
      <c r="C148" s="9">
        <f>0</f>
        <v>0</v>
      </c>
      <c r="D148" s="9">
        <f>0</f>
        <v>0</v>
      </c>
      <c r="E148" s="9">
        <f>0</f>
        <v>0</v>
      </c>
      <c r="F148" s="9">
        <f>0</f>
        <v>0</v>
      </c>
      <c r="G148" s="9">
        <f>0</f>
        <v>0</v>
      </c>
      <c r="H148" s="9">
        <f>0</f>
        <v>0</v>
      </c>
      <c r="I148" s="9">
        <f>0</f>
        <v>0</v>
      </c>
      <c r="J148" s="9">
        <f>0</f>
        <v>0</v>
      </c>
      <c r="K148" s="9">
        <f>IF('Model inputs'!K116="","",'Model inputs'!K116)</f>
        <v>0</v>
      </c>
      <c r="L148" s="9">
        <f>IF('Model inputs'!L116="","",'Model inputs'!L116)</f>
        <v>24.218999999999998</v>
      </c>
      <c r="M148" s="9">
        <f>IF('Model inputs'!M116="","",'Model inputs'!M116)</f>
        <v>27.63243</v>
      </c>
      <c r="N148" s="9">
        <f>IF('Model inputs'!N116="","",'Model inputs'!N116)</f>
        <v>30.9434571</v>
      </c>
      <c r="O148" s="9">
        <f>IF('Model inputs'!O116="","",'Model inputs'!O116)</f>
        <v>34.15515338699999</v>
      </c>
      <c r="P148" s="9">
        <f>IF('Model inputs'!P116="","",'Model inputs'!P116)</f>
        <v>37.27049878539</v>
      </c>
      <c r="Q148" s="9">
        <f>IF('Model inputs'!Q116="","",'Model inputs'!Q116)</f>
        <v>40.2923838218283</v>
      </c>
      <c r="R148" s="9">
        <f>IF('Model inputs'!R116="","",'Model inputs'!R116)</f>
        <v>43.223612307173454</v>
      </c>
      <c r="S148" s="9">
        <f>IF('Model inputs'!S116="","",'Model inputs'!S116)</f>
        <v>46.066903937958244</v>
      </c>
      <c r="T148" s="9">
        <f>IF('Model inputs'!T116="","",'Model inputs'!T116)</f>
        <v>48.8248968198195</v>
      </c>
      <c r="U148" s="9">
        <f>IF('Model inputs'!U116="","",'Model inputs'!U116)</f>
        <v>51.50014991522492</v>
      </c>
      <c r="V148" s="9">
        <f>IF('Model inputs'!V116="","",'Model inputs'!V116)</f>
        <v>54.09514541776817</v>
      </c>
      <c r="W148" s="9">
        <f>IF('Model inputs'!W116="","",'Model inputs'!W116)</f>
        <v>56.61229105523513</v>
      </c>
      <c r="X148" s="9">
        <f>IF('Model inputs'!X116="","",'Model inputs'!X116)</f>
        <v>59.05392232357807</v>
      </c>
      <c r="Y148" s="9">
        <f>IF('Model inputs'!Y116="","",'Model inputs'!Y116)</f>
        <v>61.42230465387073</v>
      </c>
      <c r="Z148" s="9">
        <f>IF('Model inputs'!Z116="","",'Model inputs'!Z116)</f>
        <v>63.71963551425462</v>
      </c>
      <c r="AA148" s="9">
        <f>IF('Model inputs'!AA116="","",'Model inputs'!AA116)</f>
        <v>65.94804644882697</v>
      </c>
      <c r="AB148" s="9">
        <f>IF('Model inputs'!AB116="","",'Model inputs'!AB116)</f>
        <v>68.10960505536217</v>
      </c>
      <c r="AC148" s="9">
        <f>IF('Model inputs'!AC116="","",'Model inputs'!AC116)</f>
        <v>70.2063169037013</v>
      </c>
      <c r="AD148" s="9">
        <f>IF('Model inputs'!AD116="","",'Model inputs'!AD116)</f>
        <v>72.24012739659025</v>
      </c>
      <c r="AE148" s="9">
        <f>IF('Model inputs'!AE116="","",'Model inputs'!AE116)</f>
        <v>74.21292357469257</v>
      </c>
      <c r="AF148" s="9">
        <f>IF('Model inputs'!AF116="","",'Model inputs'!AF116)</f>
        <v>76.12653586745179</v>
      </c>
      <c r="AG148" s="9">
        <f>IF('Model inputs'!AG116="","",'Model inputs'!AG116)</f>
        <v>77.98273979142823</v>
      </c>
      <c r="AH148" s="9">
        <f>IF('Model inputs'!AH116="","",'Model inputs'!AH116)</f>
        <v>79.78325759768539</v>
      </c>
      <c r="AI148" s="9">
        <f>IF('Model inputs'!AI116="","",'Model inputs'!AI116)</f>
        <v>81.52975986975483</v>
      </c>
    </row>
    <row r="149">
      <c r="A149" t="inlineStr" s="22">
        <is>
          <t xml:space="preserve">Acquisition spending · Bad Reliability</t>
        </is>
      </c>
      <c r="C149" s="9">
        <f>SUM('Model inputs'!C185,'Model inputs'!C186)</f>
        <v>0</v>
      </c>
      <c r="D149" s="9">
        <f>SUM('Model inputs'!D185,'Model inputs'!D186)</f>
        <v>0</v>
      </c>
      <c r="E149" s="9">
        <f>SUM('Model inputs'!E185,'Model inputs'!E186)</f>
        <v>0</v>
      </c>
      <c r="F149" s="9">
        <f>SUM('Model inputs'!F185,'Model inputs'!F186)</f>
        <v>0</v>
      </c>
      <c r="G149" s="9">
        <f>SUM('Model inputs'!G185,'Model inputs'!G186)</f>
        <v>0</v>
      </c>
      <c r="H149" s="9">
        <f>SUM('Model inputs'!H185,'Model inputs'!H186)</f>
        <v>0</v>
      </c>
      <c r="I149" s="9">
        <f>SUM('Model inputs'!I185,'Model inputs'!I186)</f>
        <v>0</v>
      </c>
      <c r="J149" s="9">
        <f>SUM('Model inputs'!J185,'Model inputs'!J186)</f>
        <v>0</v>
      </c>
      <c r="K149" s="9">
        <f>SUM('Model inputs'!K185,'Model inputs'!K186)</f>
        <v>0</v>
      </c>
      <c r="L149" s="9">
        <f>SUM('Model inputs'!L185,'Model inputs'!L186)</f>
        <v>150</v>
      </c>
      <c r="M149" s="9">
        <f>SUM('Model inputs'!M185,'Model inputs'!M186)</f>
        <v>150</v>
      </c>
      <c r="N149" s="9">
        <f>SUM('Model inputs'!N185,'Model inputs'!N186)</f>
        <v>150</v>
      </c>
      <c r="O149" s="9">
        <f>SUM('Model inputs'!O185,'Model inputs'!O186)</f>
        <v>150</v>
      </c>
      <c r="P149" s="9">
        <f>SUM('Model inputs'!P185,'Model inputs'!P186)</f>
        <v>150</v>
      </c>
      <c r="Q149" s="9">
        <f>SUM('Model inputs'!Q185,'Model inputs'!Q186)</f>
        <v>150</v>
      </c>
      <c r="R149" s="9">
        <f>SUM('Model inputs'!R185,'Model inputs'!R186)</f>
        <v>150</v>
      </c>
      <c r="S149" s="9">
        <f>SUM('Model inputs'!S185,'Model inputs'!S186)</f>
        <v>150</v>
      </c>
      <c r="T149" s="9">
        <f>SUM('Model inputs'!T185,'Model inputs'!T186)</f>
        <v>150</v>
      </c>
      <c r="U149" s="9">
        <f>SUM('Model inputs'!U185,'Model inputs'!U186)</f>
        <v>150</v>
      </c>
      <c r="V149" s="9">
        <f>SUM('Model inputs'!V185,'Model inputs'!V186)</f>
        <v>150</v>
      </c>
      <c r="W149" s="9">
        <f>SUM('Model inputs'!W185,'Model inputs'!W186)</f>
        <v>150</v>
      </c>
      <c r="X149" s="9">
        <f>SUM('Model inputs'!X185,'Model inputs'!X186)</f>
        <v>150</v>
      </c>
      <c r="Y149" s="9">
        <f>SUM('Model inputs'!Y185,'Model inputs'!Y186)</f>
        <v>150</v>
      </c>
      <c r="Z149" s="9">
        <f>SUM('Model inputs'!Z185,'Model inputs'!Z186)</f>
        <v>150</v>
      </c>
      <c r="AA149" s="9">
        <f>SUM('Model inputs'!AA185,'Model inputs'!AA186)</f>
        <v>150</v>
      </c>
      <c r="AB149" s="9">
        <f>SUM('Model inputs'!AB185,'Model inputs'!AB186)</f>
        <v>150</v>
      </c>
      <c r="AC149" s="9">
        <f>SUM('Model inputs'!AC185,'Model inputs'!AC186)</f>
        <v>150</v>
      </c>
      <c r="AD149" s="9">
        <f>SUM('Model inputs'!AD185,'Model inputs'!AD186)</f>
        <v>150</v>
      </c>
      <c r="AE149" s="9">
        <f>SUM('Model inputs'!AE185,'Model inputs'!AE186)</f>
        <v>150</v>
      </c>
      <c r="AF149" s="9">
        <f>SUM('Model inputs'!AF185,'Model inputs'!AF186)</f>
        <v>150</v>
      </c>
      <c r="AG149" s="9">
        <f>SUM('Model inputs'!AG185,'Model inputs'!AG186)</f>
        <v>150</v>
      </c>
      <c r="AH149" s="9">
        <f>SUM('Model inputs'!AH185,'Model inputs'!AH186)</f>
        <v>150</v>
      </c>
      <c r="AI149" s="9">
        <f>SUM('Model inputs'!AI185,'Model inputs'!AI186)</f>
        <v>150</v>
      </c>
    </row>
    <row r="150">
      <c r="A150" t="inlineStr" s="22">
        <is>
          <t xml:space="preserve">Acquisition spending · Growth</t>
        </is>
      </c>
      <c r="C150" s="9">
        <f>SUM('Model inputs'!C188,'Model inputs'!C189)</f>
        <v>0</v>
      </c>
      <c r="D150" s="9">
        <f>SUM('Model inputs'!D188,'Model inputs'!D189)</f>
        <v>0</v>
      </c>
      <c r="E150" s="9">
        <f>SUM('Model inputs'!E188,'Model inputs'!E189)</f>
        <v>0</v>
      </c>
      <c r="F150" s="9">
        <f>SUM('Model inputs'!F188,'Model inputs'!F189)</f>
        <v>0</v>
      </c>
      <c r="G150" s="9">
        <f>SUM('Model inputs'!G188,'Model inputs'!G189)</f>
        <v>0</v>
      </c>
      <c r="H150" s="9">
        <f>SUM('Model inputs'!H188,'Model inputs'!H189)</f>
        <v>0</v>
      </c>
      <c r="I150" s="9">
        <f>SUM('Model inputs'!I188,'Model inputs'!I189)</f>
        <v>0</v>
      </c>
      <c r="J150" s="9">
        <f>SUM('Model inputs'!J188,'Model inputs'!J189)</f>
        <v>0</v>
      </c>
      <c r="K150" s="9">
        <f>SUM('Model inputs'!K188,'Model inputs'!K189)</f>
        <v>0</v>
      </c>
      <c r="L150" s="9">
        <f>SUM('Model inputs'!L188,'Model inputs'!L189)</f>
        <v>450</v>
      </c>
      <c r="M150" s="9">
        <f>SUM('Model inputs'!M188,'Model inputs'!M189)</f>
        <v>450</v>
      </c>
      <c r="N150" s="9">
        <f>SUM('Model inputs'!N188,'Model inputs'!N189)</f>
        <v>450</v>
      </c>
      <c r="O150" s="9">
        <f>SUM('Model inputs'!O188,'Model inputs'!O189)</f>
        <v>450</v>
      </c>
      <c r="P150" s="9">
        <f>SUM('Model inputs'!P188,'Model inputs'!P189)</f>
        <v>450</v>
      </c>
      <c r="Q150" s="9">
        <f>SUM('Model inputs'!Q188,'Model inputs'!Q189)</f>
        <v>450</v>
      </c>
      <c r="R150" s="9">
        <f>SUM('Model inputs'!R188,'Model inputs'!R189)</f>
        <v>450</v>
      </c>
      <c r="S150" s="9">
        <f>SUM('Model inputs'!S188,'Model inputs'!S189)</f>
        <v>450</v>
      </c>
      <c r="T150" s="9">
        <f>SUM('Model inputs'!T188,'Model inputs'!T189)</f>
        <v>450</v>
      </c>
      <c r="U150" s="9">
        <f>SUM('Model inputs'!U188,'Model inputs'!U189)</f>
        <v>450</v>
      </c>
      <c r="V150" s="9">
        <f>SUM('Model inputs'!V188,'Model inputs'!V189)</f>
        <v>450</v>
      </c>
      <c r="W150" s="9">
        <f>SUM('Model inputs'!W188,'Model inputs'!W189)</f>
        <v>450</v>
      </c>
      <c r="X150" s="9">
        <f>SUM('Model inputs'!X188,'Model inputs'!X189)</f>
        <v>450</v>
      </c>
      <c r="Y150" s="9">
        <f>SUM('Model inputs'!Y188,'Model inputs'!Y189)</f>
        <v>450</v>
      </c>
      <c r="Z150" s="9">
        <f>SUM('Model inputs'!Z188,'Model inputs'!Z189)</f>
        <v>450</v>
      </c>
      <c r="AA150" s="9">
        <f>SUM('Model inputs'!AA188,'Model inputs'!AA189)</f>
        <v>450</v>
      </c>
      <c r="AB150" s="9">
        <f>SUM('Model inputs'!AB188,'Model inputs'!AB189)</f>
        <v>450</v>
      </c>
      <c r="AC150" s="9">
        <f>SUM('Model inputs'!AC188,'Model inputs'!AC189)</f>
        <v>450</v>
      </c>
      <c r="AD150" s="9">
        <f>SUM('Model inputs'!AD188,'Model inputs'!AD189)</f>
        <v>450</v>
      </c>
      <c r="AE150" s="9">
        <f>SUM('Model inputs'!AE188,'Model inputs'!AE189)</f>
        <v>450</v>
      </c>
      <c r="AF150" s="9">
        <f>SUM('Model inputs'!AF188,'Model inputs'!AF189)</f>
        <v>450</v>
      </c>
      <c r="AG150" s="9">
        <f>SUM('Model inputs'!AG188,'Model inputs'!AG189)</f>
        <v>450</v>
      </c>
      <c r="AH150" s="9">
        <f>SUM('Model inputs'!AH188,'Model inputs'!AH189)</f>
        <v>450</v>
      </c>
      <c r="AI150" s="9">
        <f>SUM('Model inputs'!AI188,'Model inputs'!AI189)</f>
        <v>450</v>
      </c>
    </row>
    <row r="151">
      <c r="A151" t="inlineStr" s="22">
        <is>
          <t xml:space="preserve">Cash collections · Bad Reliability</t>
        </is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f>IF('Model inputs'!L53="","",'Model inputs'!L53)</f>
        <v>492.9</v>
      </c>
      <c r="M151" s="9">
        <f>IF('Model inputs'!M53="","",'Model inputs'!M53)</f>
        <v>558.962</v>
      </c>
      <c r="N151" s="9">
        <f>IF('Model inputs'!N53="","",'Model inputs'!N53)</f>
        <v>621.3984800000001</v>
      </c>
      <c r="O151" s="9">
        <f>IF('Model inputs'!O53="","",'Model inputs'!O53)</f>
        <v>680.4100612</v>
      </c>
      <c r="P151" s="9">
        <f>IF('Model inputs'!P53="","",'Model inputs'!P53)</f>
        <v>736.186173028</v>
      </c>
      <c r="Q151" s="9">
        <f>IF('Model inputs'!Q53="","",'Model inputs'!Q53)</f>
        <v>788.9056823713199</v>
      </c>
      <c r="R151" s="9">
        <f>IF('Model inputs'!R53="","",'Model inputs'!R53)</f>
        <v>838.7374871677907</v>
      </c>
      <c r="S151" s="9">
        <f>IF('Model inputs'!S53="","",'Model inputs'!S53)</f>
        <v>885.8410763895358</v>
      </c>
      <c r="T151" s="9">
        <f>IF('Model inputs'!T53="","",'Model inputs'!T53)</f>
        <v>930.3670583353855</v>
      </c>
      <c r="U151" s="9">
        <f>IF('Model inputs'!U53="","",'Model inputs'!U53)</f>
        <v>972.4576590380232</v>
      </c>
      <c r="V151" s="9">
        <f>IF('Model inputs'!V53="","",'Model inputs'!V53)</f>
        <v>1012.2471924883646</v>
      </c>
      <c r="W151" s="9">
        <f>IF('Model inputs'!W53="","",'Model inputs'!W53)</f>
        <v>1049.8625042820545</v>
      </c>
      <c r="X151" s="9">
        <f>IF('Model inputs'!X53="","",'Model inputs'!X53)</f>
        <v>1085.423390200973</v>
      </c>
      <c r="Y151" s="9">
        <f>IF('Model inputs'!Y53="","",'Model inputs'!Y53)</f>
        <v>1119.0429911559645</v>
      </c>
      <c r="Z151" s="9">
        <f>IF('Model inputs'!Z53="","",'Model inputs'!Z53)</f>
        <v>1150.8281658353042</v>
      </c>
      <c r="AA151" s="9">
        <f>IF('Model inputs'!AA53="","",'Model inputs'!AA53)</f>
        <v>1180.8798423264484</v>
      </c>
      <c r="AB151" s="9">
        <f>IF('Model inputs'!AB53="","",'Model inputs'!AB53)</f>
        <v>1209.293349906061</v>
      </c>
      <c r="AC151" s="9">
        <f>IF('Model inputs'!AC53="","",'Model inputs'!AC53)</f>
        <v>1236.1587321249367</v>
      </c>
      <c r="AD151" s="9">
        <f>IF('Model inputs'!AD53="","",'Model inputs'!AD53)</f>
        <v>1261.561042250018</v>
      </c>
      <c r="AE151" s="9">
        <f>IF('Model inputs'!AE53="","",'Model inputs'!AE53)</f>
        <v>1285.5806220649656</v>
      </c>
      <c r="AF151" s="9">
        <f>IF('Model inputs'!AF53="","",'Model inputs'!AF53)</f>
        <v>1308.293364973519</v>
      </c>
      <c r="AG151" s="9">
        <f>IF('Model inputs'!AG53="","",'Model inputs'!AG53)</f>
        <v>1329.7709642959364</v>
      </c>
      <c r="AH151" s="9">
        <f>IF('Model inputs'!AH53="","",'Model inputs'!AH53)</f>
        <v>1350.0811475979676</v>
      </c>
      <c r="AI151" s="9">
        <f>IF('Model inputs'!AI53="","",'Model inputs'!AI53)</f>
        <v>1369.2878978438873</v>
      </c>
    </row>
    <row r="152">
      <c r="A152" t="inlineStr" s="22">
        <is>
          <t xml:space="preserve">Cash collections · Growth</t>
        </is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f>IF('Model inputs'!L54="","",'Model inputs'!L54)</f>
        <v>904.13</v>
      </c>
      <c r="M152" s="9">
        <f>IF('Model inputs'!M54="","",'Model inputs'!M54)</f>
        <v>1259.1325500000003</v>
      </c>
      <c r="N152" s="9">
        <f>IF('Model inputs'!N54="","",'Model inputs'!N54)</f>
        <v>1608.11377175</v>
      </c>
      <c r="O152" s="9">
        <f>IF('Model inputs'!O54="","",'Model inputs'!O54)</f>
        <v>1951.1779109737504</v>
      </c>
      <c r="P152" s="9">
        <f>IF('Model inputs'!P54="","",'Model inputs'!P54)</f>
        <v>2288.4273711931437</v>
      </c>
      <c r="Q152" s="9">
        <f>IF('Model inputs'!Q54="","",'Model inputs'!Q54)</f>
        <v>2619.962746931567</v>
      </c>
      <c r="R152" s="9">
        <f>IF('Model inputs'!R54="","",'Model inputs'!R54)</f>
        <v>2945.882856307787</v>
      </c>
      <c r="S152" s="9">
        <f>IF('Model inputs'!S54="","",'Model inputs'!S54)</f>
        <v>3266.28477303176</v>
      </c>
      <c r="T152" s="9">
        <f>IF('Model inputs'!T54="","",'Model inputs'!T54)</f>
        <v>3581.263857813501</v>
      </c>
      <c r="U152" s="9">
        <f>IF('Model inputs'!U54="","",'Model inputs'!U54)</f>
        <v>3890.9137891959726</v>
      </c>
      <c r="V152" s="9">
        <f>IF('Model inputs'!V54="","",'Model inputs'!V54)</f>
        <v>4195.326593822713</v>
      </c>
      <c r="W152" s="9">
        <f>IF('Model inputs'!W54="","",'Model inputs'!W54)</f>
        <v>4494.592676150759</v>
      </c>
      <c r="X152" s="9">
        <f>IF('Model inputs'!X54="","",'Model inputs'!X54)</f>
        <v>4788.800847619176</v>
      </c>
      <c r="Y152" s="9">
        <f>IF('Model inputs'!Y54="","",'Model inputs'!Y54)</f>
        <v>5078.038355283354</v>
      </c>
      <c r="Z152" s="9">
        <f>IF('Model inputs'!Z54="","",'Model inputs'!Z54)</f>
        <v>5362.390909924999</v>
      </c>
      <c r="AA152" s="9">
        <f>IF('Model inputs'!AA54="","",'Model inputs'!AA54)</f>
        <v>5641.942713647602</v>
      </c>
      <c r="AB152" s="9">
        <f>IF('Model inputs'!AB54="","",'Model inputs'!AB54)</f>
        <v>5916.776486966936</v>
      </c>
      <c r="AC152" s="9">
        <f>IF('Model inputs'!AC54="","",'Model inputs'!AC54)</f>
        <v>6186.973495405999</v>
      </c>
      <c r="AD152" s="9">
        <f>IF('Model inputs'!AD54="","",'Model inputs'!AD54)</f>
        <v>6452.613575603606</v>
      </c>
      <c r="AE152" s="9">
        <f>IF('Model inputs'!AE54="","",'Model inputs'!AE54)</f>
        <v>6713.775160945673</v>
      </c>
      <c r="AF152" s="9">
        <f>IF('Model inputs'!AF54="","",'Model inputs'!AF54)</f>
        <v>6970.5353067280885</v>
      </c>
      <c r="AG152" s="9">
        <f>IF('Model inputs'!AG54="","",'Model inputs'!AG54)</f>
        <v>7222.969714859834</v>
      </c>
      <c r="AH152" s="9">
        <f>IF('Model inputs'!AH54="","",'Model inputs'!AH54)</f>
        <v>7471.152758114951</v>
      </c>
      <c r="AI152" s="9">
        <f>IF('Model inputs'!AI54="","",'Model inputs'!AI54)</f>
        <v>7715.157503941681</v>
      </c>
    </row>
    <row r="153">
      <c r="A153" t="inlineStr" s="22">
        <is>
          <t xml:space="preserve">Cash payments · Bad Reliability</t>
        </is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f>'Model inputs'!L117+'Model inputs'!L123</f>
        <v>649.512</v>
      </c>
      <c r="M153" s="9">
        <f>'Model inputs'!M117+'Model inputs'!M123</f>
        <v>679.36108</v>
      </c>
      <c r="N153" s="9">
        <f>'Model inputs'!N117+'Model inputs'!N123</f>
        <v>707.5909752</v>
      </c>
      <c r="O153" s="9">
        <f>'Model inputs'!O117+'Model inputs'!O123</f>
        <v>2734.2902486880002</v>
      </c>
      <c r="P153" s="9">
        <f>'Model inputs'!P117+'Model inputs'!P123</f>
        <v>2759.54257916672</v>
      </c>
      <c r="Q153" s="9">
        <f>'Model inputs'!Q117+'Model inputs'!Q123</f>
        <v>2783.427032546717</v>
      </c>
      <c r="R153" s="9">
        <f>'Model inputs'!R117+'Model inputs'!R123</f>
        <v>2806.0183183174136</v>
      </c>
      <c r="S153" s="9">
        <f>'Model inputs'!S117+'Model inputs'!S123</f>
        <v>2827.3870315556937</v>
      </c>
      <c r="T153" s="9">
        <f>'Model inputs'!T117+'Model inputs'!T123</f>
        <v>2847.599881382811</v>
      </c>
      <c r="U153" s="9">
        <f>'Model inputs'!U117+'Model inputs'!U123</f>
        <v>2866.7199066342782</v>
      </c>
      <c r="V153" s="9">
        <f>'Model inputs'!V117+'Model inputs'!V123</f>
        <v>2884.8066794639353</v>
      </c>
      <c r="W153" s="9">
        <f>'Model inputs'!W117+'Model inputs'!W123</f>
        <v>2901.9164975624276</v>
      </c>
      <c r="X153" s="9">
        <f>'Model inputs'!X117+'Model inputs'!X123</f>
        <v>2918.1025656316942</v>
      </c>
      <c r="Y153" s="9">
        <f>'Model inputs'!Y117+'Model inputs'!Y123</f>
        <v>2933.4151667206534</v>
      </c>
      <c r="Z153" s="9">
        <f>'Model inputs'!Z117+'Model inputs'!Z123</f>
        <v>2947.901823992933</v>
      </c>
      <c r="AA153" s="9">
        <f>'Model inputs'!AA117+'Model inputs'!AA123</f>
        <v>2961.607453465099</v>
      </c>
      <c r="AB153" s="9">
        <f>'Model inputs'!AB117+'Model inputs'!AB123</f>
        <v>2974.5745082233484</v>
      </c>
      <c r="AC153" s="9">
        <f>'Model inputs'!AC117+'Model inputs'!AC123</f>
        <v>2986.8431145977947</v>
      </c>
      <c r="AD153" s="9">
        <f>'Model inputs'!AD117+'Model inputs'!AD123</f>
        <v>2998.4512007463823</v>
      </c>
      <c r="AE153" s="9">
        <f>'Model inputs'!AE117+'Model inputs'!AE123</f>
        <v>3009.4346180748316</v>
      </c>
      <c r="AF153" s="9">
        <f>'Model inputs'!AF117+'Model inputs'!AF123</f>
        <v>3019.8272558949125</v>
      </c>
      <c r="AG153" s="9">
        <f>'Model inputs'!AG117+'Model inputs'!AG123</f>
        <v>3029.6611497005597</v>
      </c>
      <c r="AH153" s="9">
        <f>'Model inputs'!AH117+'Model inputs'!AH123</f>
        <v>3038.9665834199013</v>
      </c>
      <c r="AI153" s="9">
        <f>'Model inputs'!AI117+'Model inputs'!AI123</f>
        <v>3047.7721859810135</v>
      </c>
    </row>
    <row r="154">
      <c r="A154" t="inlineStr" s="22">
        <is>
          <t xml:space="preserve">Cash payments · Growth</t>
        </is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f>'Model inputs'!L118+'Model inputs'!L124</f>
        <v>1024.958</v>
      </c>
      <c r="M154" s="9">
        <f>'Model inputs'!M118+'Model inputs'!M124</f>
        <v>1095.477085</v>
      </c>
      <c r="N154" s="9">
        <f>'Model inputs'!N118+'Model inputs'!N124</f>
        <v>1164.7790896249999</v>
      </c>
      <c r="O154" s="9">
        <f>'Model inputs'!O118+'Model inputs'!O124</f>
        <v>3232.885455962625</v>
      </c>
      <c r="P154" s="9">
        <f>'Model inputs'!P118+'Model inputs'!P124</f>
        <v>3299.817240751546</v>
      </c>
      <c r="Q154" s="9">
        <f>'Model inputs'!Q118+'Model inputs'!Q124</f>
        <v>3365.595122436065</v>
      </c>
      <c r="R154" s="9">
        <f>'Model inputs'!R118+'Model inputs'!R124</f>
        <v>3430.239408089401</v>
      </c>
      <c r="S154" s="9">
        <f>'Model inputs'!S118+'Model inputs'!S124</f>
        <v>3493.7700402081396</v>
      </c>
      <c r="T154" s="9">
        <f>'Model inputs'!T118+'Model inputs'!T124</f>
        <v>3556.2066033802953</v>
      </c>
      <c r="U154" s="9">
        <f>'Model inputs'!U118+'Model inputs'!U124</f>
        <v>3617.5683308293633</v>
      </c>
      <c r="V154" s="9">
        <f>'Model inputs'!V118+'Model inputs'!V124</f>
        <v>3677.8741108366994</v>
      </c>
      <c r="W154" s="9">
        <f>'Model inputs'!W118+'Model inputs'!W124</f>
        <v>3737.1424930445305</v>
      </c>
      <c r="X154" s="9">
        <f>'Model inputs'!X118+'Model inputs'!X124</f>
        <v>3795.391694641836</v>
      </c>
      <c r="Y154" s="9">
        <f>'Model inputs'!Y118+'Model inputs'!Y124</f>
        <v>3852.6396064353225</v>
      </c>
      <c r="Z154" s="9">
        <f>'Model inputs'!Z118+'Model inputs'!Z124</f>
        <v>3908.9037988076448</v>
      </c>
      <c r="AA154" s="9">
        <f>'Model inputs'!AA118+'Model inputs'!AA124</f>
        <v>3964.2015275650047</v>
      </c>
      <c r="AB154" s="9">
        <f>'Model inputs'!AB118+'Model inputs'!AB124</f>
        <v>4018.5497396762153</v>
      </c>
      <c r="AC154" s="9">
        <f>'Model inputs'!AC118+'Model inputs'!AC124</f>
        <v>4071.9650789052635</v>
      </c>
      <c r="AD154" s="9">
        <f>'Model inputs'!AD118+'Model inputs'!AD124</f>
        <v>4124.463891339392</v>
      </c>
      <c r="AE154" s="9">
        <f>'Model inputs'!AE118+'Model inputs'!AE124</f>
        <v>4176.062230814655</v>
      </c>
      <c r="AF154" s="9">
        <f>'Model inputs'!AF118+'Model inputs'!AF124</f>
        <v>4226.775864240882</v>
      </c>
      <c r="AG154" s="9">
        <f>'Model inputs'!AG118+'Model inputs'!AG124</f>
        <v>4276.620276827946</v>
      </c>
      <c r="AH154" s="9">
        <f>'Model inputs'!AH118+'Model inputs'!AH124</f>
        <v>4325.610677215191</v>
      </c>
      <c r="AI154" s="9">
        <f>'Model inputs'!AI118+'Model inputs'!AI124</f>
        <v>4373.762002505834</v>
      </c>
    </row>
    <row r="155">
      <c r="A155" t="inlineStr" s="22">
        <is>
          <t xml:space="preserve">Fixed hosting · Bad Reliability</t>
        </is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f>IF('Model inputs'!B202="","",'Model inputs'!B202)</f>
        <v>75</v>
      </c>
      <c r="M155" s="9">
        <f>IF('Model inputs'!B202="","",'Model inputs'!B202)</f>
        <v>75</v>
      </c>
      <c r="N155" s="9">
        <f>IF('Model inputs'!B202="","",'Model inputs'!B202)</f>
        <v>75</v>
      </c>
      <c r="O155" s="9">
        <f>IF('Model inputs'!B202="","",'Model inputs'!B202)</f>
        <v>75</v>
      </c>
      <c r="P155" s="9">
        <f>IF('Model inputs'!B202="","",'Model inputs'!B202)</f>
        <v>75</v>
      </c>
      <c r="Q155" s="9">
        <f>IF('Model inputs'!B202="","",'Model inputs'!B202)</f>
        <v>75</v>
      </c>
      <c r="R155" s="9">
        <f>IF('Model inputs'!B202="","",'Model inputs'!B202)</f>
        <v>75</v>
      </c>
      <c r="S155" s="9">
        <f>IF('Model inputs'!B202="","",'Model inputs'!B202)</f>
        <v>75</v>
      </c>
      <c r="T155" s="9">
        <f>IF('Model inputs'!B202="","",'Model inputs'!B202)</f>
        <v>75</v>
      </c>
      <c r="U155" s="9">
        <f>IF('Model inputs'!B202="","",'Model inputs'!B202)</f>
        <v>75</v>
      </c>
      <c r="V155" s="9">
        <f>IF('Model inputs'!B202="","",'Model inputs'!B202)</f>
        <v>75</v>
      </c>
      <c r="W155" s="9">
        <f>IF('Model inputs'!B202="","",'Model inputs'!B202)</f>
        <v>75</v>
      </c>
      <c r="X155" s="9">
        <f>IF('Model inputs'!B202="","",'Model inputs'!B202)</f>
        <v>75</v>
      </c>
      <c r="Y155" s="9">
        <f>IF('Model inputs'!B202="","",'Model inputs'!B202)</f>
        <v>75</v>
      </c>
      <c r="Z155" s="9">
        <f>IF('Model inputs'!B202="","",'Model inputs'!B202)</f>
        <v>75</v>
      </c>
      <c r="AA155" s="9">
        <f>IF('Model inputs'!B202="","",'Model inputs'!B202)</f>
        <v>75</v>
      </c>
      <c r="AB155" s="9">
        <f>IF('Model inputs'!B202="","",'Model inputs'!B202)</f>
        <v>75</v>
      </c>
      <c r="AC155" s="9">
        <f>IF('Model inputs'!B202="","",'Model inputs'!B202)</f>
        <v>75</v>
      </c>
      <c r="AD155" s="9">
        <f>IF('Model inputs'!B202="","",'Model inputs'!B202)</f>
        <v>75</v>
      </c>
      <c r="AE155" s="9">
        <f>IF('Model inputs'!B202="","",'Model inputs'!B202)</f>
        <v>75</v>
      </c>
      <c r="AF155" s="9">
        <f>IF('Model inputs'!B202="","",'Model inputs'!B202)</f>
        <v>75</v>
      </c>
      <c r="AG155" s="9">
        <f>IF('Model inputs'!B202="","",'Model inputs'!B202)</f>
        <v>75</v>
      </c>
      <c r="AH155" s="9">
        <f>IF('Model inputs'!B202="","",'Model inputs'!B202)</f>
        <v>75</v>
      </c>
      <c r="AI155" s="9">
        <f>IF('Model inputs'!B202="","",'Model inputs'!B202)</f>
        <v>75</v>
      </c>
    </row>
    <row r="156">
      <c r="A156" t="inlineStr" s="22">
        <is>
          <t xml:space="preserve">Fixed hosting · Growth</t>
        </is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f>IF('Model inputs'!B203="","",'Model inputs'!B203)</f>
        <v>75</v>
      </c>
      <c r="M156" s="9">
        <f>IF('Model inputs'!B203="","",'Model inputs'!B203)</f>
        <v>75</v>
      </c>
      <c r="N156" s="9">
        <f>IF('Model inputs'!B203="","",'Model inputs'!B203)</f>
        <v>75</v>
      </c>
      <c r="O156" s="9">
        <f>IF('Model inputs'!B203="","",'Model inputs'!B203)</f>
        <v>75</v>
      </c>
      <c r="P156" s="9">
        <f>IF('Model inputs'!B203="","",'Model inputs'!B203)</f>
        <v>75</v>
      </c>
      <c r="Q156" s="9">
        <f>IF('Model inputs'!B203="","",'Model inputs'!B203)</f>
        <v>75</v>
      </c>
      <c r="R156" s="9">
        <f>IF('Model inputs'!B203="","",'Model inputs'!B203)</f>
        <v>75</v>
      </c>
      <c r="S156" s="9">
        <f>IF('Model inputs'!B203="","",'Model inputs'!B203)</f>
        <v>75</v>
      </c>
      <c r="T156" s="9">
        <f>IF('Model inputs'!B203="","",'Model inputs'!B203)</f>
        <v>75</v>
      </c>
      <c r="U156" s="9">
        <f>IF('Model inputs'!B203="","",'Model inputs'!B203)</f>
        <v>75</v>
      </c>
      <c r="V156" s="9">
        <f>IF('Model inputs'!B203="","",'Model inputs'!B203)</f>
        <v>75</v>
      </c>
      <c r="W156" s="9">
        <f>IF('Model inputs'!B203="","",'Model inputs'!B203)</f>
        <v>75</v>
      </c>
      <c r="X156" s="9">
        <f>IF('Model inputs'!B203="","",'Model inputs'!B203)</f>
        <v>75</v>
      </c>
      <c r="Y156" s="9">
        <f>IF('Model inputs'!B203="","",'Model inputs'!B203)</f>
        <v>75</v>
      </c>
      <c r="Z156" s="9">
        <f>IF('Model inputs'!B203="","",'Model inputs'!B203)</f>
        <v>75</v>
      </c>
      <c r="AA156" s="9">
        <f>IF('Model inputs'!B203="","",'Model inputs'!B203)</f>
        <v>75</v>
      </c>
      <c r="AB156" s="9">
        <f>IF('Model inputs'!B203="","",'Model inputs'!B203)</f>
        <v>75</v>
      </c>
      <c r="AC156" s="9">
        <f>IF('Model inputs'!B203="","",'Model inputs'!B203)</f>
        <v>75</v>
      </c>
      <c r="AD156" s="9">
        <f>IF('Model inputs'!B203="","",'Model inputs'!B203)</f>
        <v>75</v>
      </c>
      <c r="AE156" s="9">
        <f>IF('Model inputs'!B203="","",'Model inputs'!B203)</f>
        <v>75</v>
      </c>
      <c r="AF156" s="9">
        <f>IF('Model inputs'!B203="","",'Model inputs'!B203)</f>
        <v>75</v>
      </c>
      <c r="AG156" s="9">
        <f>IF('Model inputs'!B203="","",'Model inputs'!B203)</f>
        <v>75</v>
      </c>
      <c r="AH156" s="9">
        <f>IF('Model inputs'!B203="","",'Model inputs'!B203)</f>
        <v>75</v>
      </c>
      <c r="AI156" s="9">
        <f>IF('Model inputs'!B203="","",'Model inputs'!B203)</f>
        <v>75</v>
      </c>
    </row>
    <row r="157">
      <c r="A157" t="inlineStr" s="22">
        <is>
          <t xml:space="preserve">Founder payroll · Bad Reliability</t>
        </is>
      </c>
      <c r="C157" s="9">
        <f>SUM('Model inputs'!C205)</f>
        <v>0</v>
      </c>
      <c r="D157" s="9">
        <f>SUM('Model inputs'!D205)</f>
        <v>0</v>
      </c>
      <c r="E157" s="9">
        <f>SUM('Model inputs'!E205)</f>
        <v>0</v>
      </c>
      <c r="F157" s="9">
        <f>SUM('Model inputs'!F205)</f>
        <v>0</v>
      </c>
      <c r="G157" s="9">
        <f>SUM('Model inputs'!G205)</f>
        <v>0</v>
      </c>
      <c r="H157" s="9">
        <f>SUM('Model inputs'!H205)</f>
        <v>0</v>
      </c>
      <c r="I157" s="9">
        <f>SUM('Model inputs'!I205)</f>
        <v>0</v>
      </c>
      <c r="J157" s="9">
        <f>SUM('Model inputs'!J205)</f>
        <v>0</v>
      </c>
      <c r="K157" s="9">
        <f>SUM('Model inputs'!K205)</f>
        <v>0</v>
      </c>
      <c r="L157" s="9">
        <f>SUM('Model inputs'!L205)</f>
        <v>0</v>
      </c>
      <c r="M157" s="9">
        <f>SUM('Model inputs'!M205)</f>
        <v>0</v>
      </c>
      <c r="N157" s="9">
        <f>SUM('Model inputs'!N205)</f>
        <v>0</v>
      </c>
      <c r="O157" s="9">
        <f>SUM('Model inputs'!O205)</f>
        <v>2000</v>
      </c>
      <c r="P157" s="9">
        <f>SUM('Model inputs'!P205)</f>
        <v>2000</v>
      </c>
      <c r="Q157" s="9">
        <f>SUM('Model inputs'!Q205)</f>
        <v>2000</v>
      </c>
      <c r="R157" s="9">
        <f>SUM('Model inputs'!R205)</f>
        <v>2000</v>
      </c>
      <c r="S157" s="9">
        <f>SUM('Model inputs'!S205)</f>
        <v>2000</v>
      </c>
      <c r="T157" s="9">
        <f>SUM('Model inputs'!T205)</f>
        <v>2000</v>
      </c>
      <c r="U157" s="9">
        <f>SUM('Model inputs'!U205)</f>
        <v>2000</v>
      </c>
      <c r="V157" s="9">
        <f>SUM('Model inputs'!V205)</f>
        <v>2000</v>
      </c>
      <c r="W157" s="9">
        <f>SUM('Model inputs'!W205)</f>
        <v>2000</v>
      </c>
      <c r="X157" s="9">
        <f>SUM('Model inputs'!X205)</f>
        <v>2000</v>
      </c>
      <c r="Y157" s="9">
        <f>SUM('Model inputs'!Y205)</f>
        <v>2000</v>
      </c>
      <c r="Z157" s="9">
        <f>SUM('Model inputs'!Z205)</f>
        <v>2000</v>
      </c>
      <c r="AA157" s="9">
        <f>SUM('Model inputs'!AA205)</f>
        <v>2000</v>
      </c>
      <c r="AB157" s="9">
        <f>SUM('Model inputs'!AB205)</f>
        <v>2000</v>
      </c>
      <c r="AC157" s="9">
        <f>SUM('Model inputs'!AC205)</f>
        <v>2000</v>
      </c>
      <c r="AD157" s="9">
        <f>SUM('Model inputs'!AD205)</f>
        <v>2000</v>
      </c>
      <c r="AE157" s="9">
        <f>SUM('Model inputs'!AE205)</f>
        <v>2000</v>
      </c>
      <c r="AF157" s="9">
        <f>SUM('Model inputs'!AF205)</f>
        <v>2000</v>
      </c>
      <c r="AG157" s="9">
        <f>SUM('Model inputs'!AG205)</f>
        <v>2000</v>
      </c>
      <c r="AH157" s="9">
        <f>SUM('Model inputs'!AH205)</f>
        <v>2000</v>
      </c>
      <c r="AI157" s="9">
        <f>SUM('Model inputs'!AI205)</f>
        <v>2000</v>
      </c>
    </row>
    <row r="158">
      <c r="A158" t="inlineStr" s="22">
        <is>
          <t xml:space="preserve">Founder payroll · Growth</t>
        </is>
      </c>
      <c r="C158" s="9">
        <f>SUM('Model inputs'!C207)</f>
        <v>0</v>
      </c>
      <c r="D158" s="9">
        <f>SUM('Model inputs'!D207)</f>
        <v>0</v>
      </c>
      <c r="E158" s="9">
        <f>SUM('Model inputs'!E207)</f>
        <v>0</v>
      </c>
      <c r="F158" s="9">
        <f>SUM('Model inputs'!F207)</f>
        <v>0</v>
      </c>
      <c r="G158" s="9">
        <f>SUM('Model inputs'!G207)</f>
        <v>0</v>
      </c>
      <c r="H158" s="9">
        <f>SUM('Model inputs'!H207)</f>
        <v>0</v>
      </c>
      <c r="I158" s="9">
        <f>SUM('Model inputs'!I207)</f>
        <v>0</v>
      </c>
      <c r="J158" s="9">
        <f>SUM('Model inputs'!J207)</f>
        <v>0</v>
      </c>
      <c r="K158" s="9">
        <f>SUM('Model inputs'!K207)</f>
        <v>0</v>
      </c>
      <c r="L158" s="9">
        <f>SUM('Model inputs'!L207)</f>
        <v>0</v>
      </c>
      <c r="M158" s="9">
        <f>SUM('Model inputs'!M207)</f>
        <v>0</v>
      </c>
      <c r="N158" s="9">
        <f>SUM('Model inputs'!N207)</f>
        <v>0</v>
      </c>
      <c r="O158" s="9">
        <f>SUM('Model inputs'!O207)</f>
        <v>2000</v>
      </c>
      <c r="P158" s="9">
        <f>SUM('Model inputs'!P207)</f>
        <v>2000</v>
      </c>
      <c r="Q158" s="9">
        <f>SUM('Model inputs'!Q207)</f>
        <v>2000</v>
      </c>
      <c r="R158" s="9">
        <f>SUM('Model inputs'!R207)</f>
        <v>2000</v>
      </c>
      <c r="S158" s="9">
        <f>SUM('Model inputs'!S207)</f>
        <v>2000</v>
      </c>
      <c r="T158" s="9">
        <f>SUM('Model inputs'!T207)</f>
        <v>2000</v>
      </c>
      <c r="U158" s="9">
        <f>SUM('Model inputs'!U207)</f>
        <v>2000</v>
      </c>
      <c r="V158" s="9">
        <f>SUM('Model inputs'!V207)</f>
        <v>2000</v>
      </c>
      <c r="W158" s="9">
        <f>SUM('Model inputs'!W207)</f>
        <v>2000</v>
      </c>
      <c r="X158" s="9">
        <f>SUM('Model inputs'!X207)</f>
        <v>2000</v>
      </c>
      <c r="Y158" s="9">
        <f>SUM('Model inputs'!Y207)</f>
        <v>2000</v>
      </c>
      <c r="Z158" s="9">
        <f>SUM('Model inputs'!Z207)</f>
        <v>2000</v>
      </c>
      <c r="AA158" s="9">
        <f>SUM('Model inputs'!AA207)</f>
        <v>2000</v>
      </c>
      <c r="AB158" s="9">
        <f>SUM('Model inputs'!AB207)</f>
        <v>2000</v>
      </c>
      <c r="AC158" s="9">
        <f>SUM('Model inputs'!AC207)</f>
        <v>2000</v>
      </c>
      <c r="AD158" s="9">
        <f>SUM('Model inputs'!AD207)</f>
        <v>2000</v>
      </c>
      <c r="AE158" s="9">
        <f>SUM('Model inputs'!AE207)</f>
        <v>2000</v>
      </c>
      <c r="AF158" s="9">
        <f>SUM('Model inputs'!AF207)</f>
        <v>2000</v>
      </c>
      <c r="AG158" s="9">
        <f>SUM('Model inputs'!AG207)</f>
        <v>2000</v>
      </c>
      <c r="AH158" s="9">
        <f>SUM('Model inputs'!AH207)</f>
        <v>2000</v>
      </c>
      <c r="AI158" s="9">
        <f>SUM('Model inputs'!AI207)</f>
        <v>2000</v>
      </c>
    </row>
    <row r="159">
      <c r="A159" t="inlineStr" s="22">
        <is>
          <t xml:space="preserve">Inference cost · Bad Reliability</t>
        </is>
      </c>
      <c r="C159" s="9">
        <f>SUM('Model inputs'!C211,'Model inputs'!C212)</f>
        <v>0</v>
      </c>
      <c r="D159" s="9">
        <f>SUM('Model inputs'!D211,'Model inputs'!D212)</f>
        <v>0</v>
      </c>
      <c r="E159" s="9">
        <f>SUM('Model inputs'!E211,'Model inputs'!E212)</f>
        <v>0</v>
      </c>
      <c r="F159" s="9">
        <f>SUM('Model inputs'!F211,'Model inputs'!F212)</f>
        <v>0</v>
      </c>
      <c r="G159" s="9">
        <f>SUM('Model inputs'!G211,'Model inputs'!G212)</f>
        <v>0</v>
      </c>
      <c r="H159" s="9">
        <f>SUM('Model inputs'!H211,'Model inputs'!H212)</f>
        <v>0</v>
      </c>
      <c r="I159" s="9">
        <f>SUM('Model inputs'!I211,'Model inputs'!I212)</f>
        <v>0</v>
      </c>
      <c r="J159" s="9">
        <f>SUM('Model inputs'!J211,'Model inputs'!J212)</f>
        <v>0</v>
      </c>
      <c r="K159" s="9">
        <f>SUM('Model inputs'!K211,'Model inputs'!K212)</f>
        <v>0</v>
      </c>
      <c r="L159" s="9">
        <f>SUM('Model inputs'!L211,'Model inputs'!L212)</f>
        <v>78.912</v>
      </c>
      <c r="M159" s="9">
        <f>SUM('Model inputs'!M211,'Model inputs'!M212)</f>
        <v>89.99807999999999</v>
      </c>
      <c r="N159" s="9">
        <f>SUM('Model inputs'!N211,'Model inputs'!N212)</f>
        <v>100.4919552</v>
      </c>
      <c r="O159" s="9">
        <f>SUM('Model inputs'!O211,'Model inputs'!O212)</f>
        <v>110.42550988800001</v>
      </c>
      <c r="P159" s="9">
        <f>SUM('Model inputs'!P211,'Model inputs'!P212)</f>
        <v>119.82889769472001</v>
      </c>
      <c r="Q159" s="9">
        <f>SUM('Model inputs'!Q211,'Model inputs'!Q212)</f>
        <v>128.7306363130368</v>
      </c>
      <c r="R159" s="9">
        <f>SUM('Model inputs'!R211,'Model inputs'!R212)</f>
        <v>137.15769699025458</v>
      </c>
      <c r="S159" s="9">
        <f>SUM('Model inputs'!S211,'Model inputs'!S212)</f>
        <v>145.13558908403928</v>
      </c>
      <c r="T159" s="9">
        <f>SUM('Model inputs'!T211,'Model inputs'!T212)</f>
        <v>152.68843995653694</v>
      </c>
      <c r="U159" s="9">
        <f>SUM('Model inputs'!U211,'Model inputs'!U212)</f>
        <v>159.83907046580774</v>
      </c>
      <c r="V159" s="9">
        <f>SUM('Model inputs'!V211,'Model inputs'!V212)</f>
        <v>166.60906629918912</v>
      </c>
      <c r="W159" s="9">
        <f>SUM('Model inputs'!W211,'Model inputs'!W212)</f>
        <v>173.0188453795011</v>
      </c>
      <c r="X159" s="9">
        <f>SUM('Model inputs'!X211,'Model inputs'!X212)</f>
        <v>179.08772156208124</v>
      </c>
      <c r="Y159" s="9">
        <f>SUM('Model inputs'!Y211,'Model inputs'!Y212)</f>
        <v>184.83396482843904</v>
      </c>
      <c r="Z159" s="9">
        <f>SUM('Model inputs'!Z211,'Model inputs'!Z212)</f>
        <v>190.27485817081126</v>
      </c>
      <c r="AA159" s="9">
        <f>SUM('Model inputs'!AA211,'Model inputs'!AA212)</f>
        <v>195.42675135103724</v>
      </c>
      <c r="AB159" s="9">
        <f>SUM('Model inputs'!AB211,'Model inputs'!AB212)</f>
        <v>200.30511170692586</v>
      </c>
      <c r="AC159" s="9">
        <f>SUM('Model inputs'!AC211,'Model inputs'!AC212)</f>
        <v>204.92457216961364</v>
      </c>
      <c r="AD159" s="9">
        <f>SUM('Model inputs'!AD211,'Model inputs'!AD212)</f>
        <v>209.29897664628498</v>
      </c>
      <c r="AE159" s="9">
        <f>SUM('Model inputs'!AE211,'Model inputs'!AE212)</f>
        <v>213.44142291401369</v>
      </c>
      <c r="AF159" s="9">
        <f>SUM('Model inputs'!AF211,'Model inputs'!AF212)</f>
        <v>217.36430316235334</v>
      </c>
      <c r="AG159" s="9">
        <f>SUM('Model inputs'!AG211,'Model inputs'!AG212)</f>
        <v>221.07934231463358</v>
      </c>
      <c r="AH159" s="9">
        <f>SUM('Model inputs'!AH211,'Model inputs'!AH212)</f>
        <v>224.59763425067595</v>
      </c>
      <c r="AI159" s="9">
        <f>SUM('Model inputs'!AI211,'Model inputs'!AI212)</f>
        <v>227.9296760468098</v>
      </c>
    </row>
    <row r="160">
      <c r="A160" t="inlineStr" s="22">
        <is>
          <t xml:space="preserve">Inference cost · Growth</t>
        </is>
      </c>
      <c r="C160" s="9">
        <f>SUM('Model inputs'!C214,'Model inputs'!C215)</f>
        <v>0</v>
      </c>
      <c r="D160" s="9">
        <f>SUM('Model inputs'!D214,'Model inputs'!D215)</f>
        <v>0</v>
      </c>
      <c r="E160" s="9">
        <f>SUM('Model inputs'!E214,'Model inputs'!E215)</f>
        <v>0</v>
      </c>
      <c r="F160" s="9">
        <f>SUM('Model inputs'!F214,'Model inputs'!F215)</f>
        <v>0</v>
      </c>
      <c r="G160" s="9">
        <f>SUM('Model inputs'!G214,'Model inputs'!G215)</f>
        <v>0</v>
      </c>
      <c r="H160" s="9">
        <f>SUM('Model inputs'!H214,'Model inputs'!H215)</f>
        <v>0</v>
      </c>
      <c r="I160" s="9">
        <f>SUM('Model inputs'!I214,'Model inputs'!I215)</f>
        <v>0</v>
      </c>
      <c r="J160" s="9">
        <f>SUM('Model inputs'!J214,'Model inputs'!J215)</f>
        <v>0</v>
      </c>
      <c r="K160" s="9">
        <f>SUM('Model inputs'!K214,'Model inputs'!K215)</f>
        <v>0</v>
      </c>
      <c r="L160" s="9">
        <f>SUM('Model inputs'!L214,'Model inputs'!L215)</f>
        <v>77.088</v>
      </c>
      <c r="M160" s="9">
        <f>SUM('Model inputs'!M214,'Model inputs'!M215)</f>
        <v>107.45526000000001</v>
      </c>
      <c r="N160" s="9">
        <f>SUM('Model inputs'!N214,'Model inputs'!N215)</f>
        <v>137.3107395</v>
      </c>
      <c r="O160" s="9">
        <f>SUM('Model inputs'!O214,'Model inputs'!O215)</f>
        <v>166.6632406395</v>
      </c>
      <c r="P160" s="9">
        <f>SUM('Model inputs'!P214,'Model inputs'!P215)</f>
        <v>195.52141101726752</v>
      </c>
      <c r="Q160" s="9">
        <f>SUM('Model inputs'!Q214,'Model inputs'!Q215)</f>
        <v>223.8937464596213</v>
      </c>
      <c r="R160" s="9">
        <f>SUM('Model inputs'!R214,'Model inputs'!R215)</f>
        <v>251.7885937381875</v>
      </c>
      <c r="S160" s="9">
        <f>SUM('Model inputs'!S214,'Model inputs'!S215)</f>
        <v>279.21415323806605</v>
      </c>
      <c r="T160" s="9">
        <f>SUM('Model inputs'!T214,'Model inputs'!T215)</f>
        <v>306.1784815773274</v>
      </c>
      <c r="U160" s="9">
        <f>SUM('Model inputs'!U214,'Model inputs'!U215)</f>
        <v>332.68949417874313</v>
      </c>
      <c r="V160" s="9">
        <f>SUM('Model inputs'!V214,'Model inputs'!V215)</f>
        <v>358.7549677946362</v>
      </c>
      <c r="W160" s="9">
        <f>SUM('Model inputs'!W214,'Model inputs'!W215)</f>
        <v>384.3825429857193</v>
      </c>
      <c r="X160" s="9">
        <f>SUM('Model inputs'!X214,'Model inputs'!X215)</f>
        <v>409.579726554776</v>
      </c>
      <c r="Y160" s="9">
        <f>SUM('Model inputs'!Y214,'Model inputs'!Y215)</f>
        <v>434.35389393602014</v>
      </c>
      <c r="Z160" s="9">
        <f>SUM('Model inputs'!Z214,'Model inputs'!Z215)</f>
        <v>458.71229154095425</v>
      </c>
      <c r="AA160" s="9">
        <f>SUM('Model inputs'!AA214,'Model inputs'!AA215)</f>
        <v>482.6620390615349</v>
      </c>
      <c r="AB160" s="9">
        <f>SUM('Model inputs'!AB214,'Model inputs'!AB215)</f>
        <v>506.21013173143297</v>
      </c>
      <c r="AC160" s="9">
        <f>SUM('Model inputs'!AC214,'Model inputs'!AC215)</f>
        <v>529.3634425461661</v>
      </c>
      <c r="AD160" s="9">
        <f>SUM('Model inputs'!AD214,'Model inputs'!AD215)</f>
        <v>552.128724442864</v>
      </c>
      <c r="AE160" s="9">
        <f>SUM('Model inputs'!AE214,'Model inputs'!AE215)</f>
        <v>574.5126124404138</v>
      </c>
      <c r="AF160" s="9">
        <f>SUM('Model inputs'!AF214,'Model inputs'!AF215)</f>
        <v>596.5216257407166</v>
      </c>
      <c r="AG160" s="9">
        <f>SUM('Model inputs'!AG214,'Model inputs'!AG215)</f>
        <v>618.1621697917765</v>
      </c>
      <c r="AH160" s="9">
        <f>SUM('Model inputs'!AH214,'Model inputs'!AH215)</f>
        <v>639.4405383133271</v>
      </c>
      <c r="AI160" s="9">
        <f>SUM('Model inputs'!AI214,'Model inputs'!AI215)</f>
        <v>660.362915285686</v>
      </c>
    </row>
    <row r="161">
      <c r="A161" t="inlineStr" s="22">
        <is>
          <t xml:space="preserve">Infrastructure variable cost · Bad Reliability</t>
        </is>
      </c>
      <c r="C161" s="9">
        <f>SUM('Model inputs'!C217,'Model inputs'!C218)</f>
        <v>0</v>
      </c>
      <c r="D161" s="9">
        <f>SUM('Model inputs'!D217,'Model inputs'!D218)</f>
        <v>0</v>
      </c>
      <c r="E161" s="9">
        <f>SUM('Model inputs'!E217,'Model inputs'!E218)</f>
        <v>0</v>
      </c>
      <c r="F161" s="9">
        <f>SUM('Model inputs'!F217,'Model inputs'!F218)</f>
        <v>0</v>
      </c>
      <c r="G161" s="9">
        <f>SUM('Model inputs'!G217,'Model inputs'!G218)</f>
        <v>0</v>
      </c>
      <c r="H161" s="9">
        <f>SUM('Model inputs'!H217,'Model inputs'!H218)</f>
        <v>0</v>
      </c>
      <c r="I161" s="9">
        <f>SUM('Model inputs'!I217,'Model inputs'!I218)</f>
        <v>0</v>
      </c>
      <c r="J161" s="9">
        <f>SUM('Model inputs'!J217,'Model inputs'!J218)</f>
        <v>0</v>
      </c>
      <c r="K161" s="9">
        <f>SUM('Model inputs'!K217,'Model inputs'!K218)</f>
        <v>0</v>
      </c>
      <c r="L161" s="9">
        <f>SUM('Model inputs'!L217,'Model inputs'!L218)</f>
        <v>8.1</v>
      </c>
      <c r="M161" s="9">
        <f>SUM('Model inputs'!M217,'Model inputs'!M218)</f>
        <v>9.138</v>
      </c>
      <c r="N161" s="9">
        <f>SUM('Model inputs'!N217,'Model inputs'!N218)</f>
        <v>10.11752</v>
      </c>
      <c r="O161" s="9">
        <f>SUM('Model inputs'!O217,'Model inputs'!O218)</f>
        <v>11.041878800000001</v>
      </c>
      <c r="P161" s="9">
        <f>SUM('Model inputs'!P217,'Model inputs'!P218)</f>
        <v>11.914205572</v>
      </c>
      <c r="Q161" s="9">
        <f>SUM('Model inputs'!Q217,'Model inputs'!Q218)</f>
        <v>12.737450762679998</v>
      </c>
      <c r="R161" s="9">
        <f>SUM('Model inputs'!R217,'Model inputs'!R218)</f>
        <v>13.5143963656692</v>
      </c>
      <c r="S161" s="9">
        <f>SUM('Model inputs'!S217,'Model inputs'!S218)</f>
        <v>14.247665600041547</v>
      </c>
      <c r="T161" s="9">
        <f>SUM('Model inputs'!T217,'Model inputs'!T218)</f>
        <v>14.939732029535929</v>
      </c>
      <c r="U161" s="9">
        <f>SUM('Model inputs'!U217,'Model inputs'!U218)</f>
        <v>15.592928154985806</v>
      </c>
      <c r="V161" s="9">
        <f>SUM('Model inputs'!V217,'Model inputs'!V218)</f>
        <v>16.209453510547586</v>
      </c>
      <c r="W161" s="9">
        <f>SUM('Model inputs'!W217,'Model inputs'!W218)</f>
        <v>16.791382292532614</v>
      </c>
      <c r="X161" s="9">
        <f>SUM('Model inputs'!X217,'Model inputs'!X218)</f>
        <v>17.340670547967648</v>
      </c>
      <c r="Y161" s="9">
        <f>SUM('Model inputs'!Y217,'Model inputs'!Y218)</f>
        <v>17.859162948427226</v>
      </c>
      <c r="Z161" s="9">
        <f>SUM('Model inputs'!Z217,'Model inputs'!Z218)</f>
        <v>18.348599173192355</v>
      </c>
      <c r="AA161" s="9">
        <f>SUM('Model inputs'!AA217,'Model inputs'!AA218)</f>
        <v>18.810619924388032</v>
      </c>
      <c r="AB161" s="9">
        <f>SUM('Model inputs'!AB217,'Model inputs'!AB218)</f>
        <v>19.24677259543261</v>
      </c>
      <c r="AC161" s="9">
        <f>SUM('Model inputs'!AC217,'Model inputs'!AC218)</f>
        <v>19.658516612889116</v>
      </c>
      <c r="AD161" s="9">
        <f>SUM('Model inputs'!AD217,'Model inputs'!AD218)</f>
        <v>20.047228470639112</v>
      </c>
      <c r="AE161" s="9">
        <f>SUM('Model inputs'!AE217,'Model inputs'!AE218)</f>
        <v>20.414206474197943</v>
      </c>
      <c r="AF161" s="9">
        <f>SUM('Model inputs'!AF217,'Model inputs'!AF218)</f>
        <v>20.760675211953384</v>
      </c>
      <c r="AG161" s="9">
        <f>SUM('Model inputs'!AG217,'Model inputs'!AG218)</f>
        <v>21.08778976913313</v>
      </c>
      <c r="AH161" s="9">
        <f>SUM('Model inputs'!AH217,'Model inputs'!AH218)</f>
        <v>21.396639699387247</v>
      </c>
      <c r="AI161" s="9">
        <f>SUM('Model inputs'!AI217,'Model inputs'!AI218)</f>
        <v>21.68825276800601</v>
      </c>
    </row>
    <row r="162">
      <c r="A162" t="inlineStr" s="22">
        <is>
          <t xml:space="preserve">Infrastructure variable cost · Growth</t>
        </is>
      </c>
      <c r="C162" s="9">
        <f>SUM('Model inputs'!C220,'Model inputs'!C221)</f>
        <v>0</v>
      </c>
      <c r="D162" s="9">
        <f>SUM('Model inputs'!D220,'Model inputs'!D221)</f>
        <v>0</v>
      </c>
      <c r="E162" s="9">
        <f>SUM('Model inputs'!E220,'Model inputs'!E221)</f>
        <v>0</v>
      </c>
      <c r="F162" s="9">
        <f>SUM('Model inputs'!F220,'Model inputs'!F221)</f>
        <v>0</v>
      </c>
      <c r="G162" s="9">
        <f>SUM('Model inputs'!G220,'Model inputs'!G221)</f>
        <v>0</v>
      </c>
      <c r="H162" s="9">
        <f>SUM('Model inputs'!H220,'Model inputs'!H221)</f>
        <v>0</v>
      </c>
      <c r="I162" s="9">
        <f>SUM('Model inputs'!I220,'Model inputs'!I221)</f>
        <v>0</v>
      </c>
      <c r="J162" s="9">
        <f>SUM('Model inputs'!J220,'Model inputs'!J221)</f>
        <v>0</v>
      </c>
      <c r="K162" s="9">
        <f>SUM('Model inputs'!K220,'Model inputs'!K221)</f>
        <v>0</v>
      </c>
      <c r="L162" s="9">
        <f>SUM('Model inputs'!L220,'Model inputs'!L221)</f>
        <v>11.370000000000001</v>
      </c>
      <c r="M162" s="9">
        <f>SUM('Model inputs'!M220,'Model inputs'!M221)</f>
        <v>15.659950000000002</v>
      </c>
      <c r="N162" s="9">
        <f>SUM('Model inputs'!N220,'Model inputs'!N221)</f>
        <v>19.87134075</v>
      </c>
      <c r="O162" s="9">
        <f>SUM('Model inputs'!O220,'Model inputs'!O221)</f>
        <v>24.005634838750005</v>
      </c>
      <c r="P162" s="9">
        <f>SUM('Model inputs'!P220,'Model inputs'!P221)</f>
        <v>28.064267232168753</v>
      </c>
      <c r="Q162" s="9">
        <f>SUM('Model inputs'!Q220,'Model inputs'!Q221)</f>
        <v>32.04864580136622</v>
      </c>
      <c r="R162" s="9">
        <f>SUM('Model inputs'!R220,'Model inputs'!R221)</f>
        <v>35.96015184047213</v>
      </c>
      <c r="S162" s="9">
        <f>SUM('Model inputs'!S220,'Model inputs'!S221)</f>
        <v>39.80014057446892</v>
      </c>
      <c r="T162" s="9">
        <f>SUM('Model inputs'!T220,'Model inputs'!T221)</f>
        <v>43.56994165722368</v>
      </c>
      <c r="U162" s="9">
        <f>SUM('Model inputs'!U220,'Model inputs'!U221)</f>
        <v>47.27085965990969</v>
      </c>
      <c r="V162" s="9">
        <f>SUM('Model inputs'!V220,'Model inputs'!V221)</f>
        <v>50.90417455000451</v>
      </c>
      <c r="W162" s="9">
        <f>SUM('Model inputs'!W220,'Model inputs'!W221)</f>
        <v>54.47114216104805</v>
      </c>
      <c r="X162" s="9">
        <f>SUM('Model inputs'!X220,'Model inputs'!X221)</f>
        <v>57.97299465334005</v>
      </c>
      <c r="Y162" s="9">
        <f>SUM('Model inputs'!Y220,'Model inputs'!Y221)</f>
        <v>61.410940965753525</v>
      </c>
      <c r="Z162" s="9">
        <f>SUM('Model inputs'!Z220,'Model inputs'!Z221)</f>
        <v>64.78616725883653</v>
      </c>
      <c r="AA162" s="9">
        <f>SUM('Model inputs'!AA220,'Model inputs'!AA221)</f>
        <v>68.0998373493719</v>
      </c>
      <c r="AB162" s="9">
        <f>SUM('Model inputs'!AB220,'Model inputs'!AB221)</f>
        <v>71.35309313656087</v>
      </c>
      <c r="AC162" s="9">
        <f>SUM('Model inputs'!AC220,'Model inputs'!AC221)</f>
        <v>74.54705501999342</v>
      </c>
      <c r="AD162" s="9">
        <f>SUM('Model inputs'!AD220,'Model inputs'!AD221)</f>
        <v>77.68282230956487</v>
      </c>
      <c r="AE162" s="9">
        <f>SUM('Model inputs'!AE220,'Model inputs'!AE221)</f>
        <v>80.76147362749532</v>
      </c>
      <c r="AF162" s="9">
        <f>SUM('Model inputs'!AF220,'Model inputs'!AF221)</f>
        <v>83.78406730260534</v>
      </c>
      <c r="AG162" s="9">
        <f>SUM('Model inputs'!AG220,'Model inputs'!AG221)</f>
        <v>86.75164175699825</v>
      </c>
      <c r="AH162" s="9">
        <f>SUM('Model inputs'!AH220,'Model inputs'!AH221)</f>
        <v>89.66521588529663</v>
      </c>
      <c r="AI162" s="9">
        <f>SUM('Model inputs'!AI220,'Model inputs'!AI221)</f>
        <v>92.52578942657748</v>
      </c>
    </row>
    <row r="163">
      <c r="A163" t="inlineStr" s="22">
        <is>
          <t xml:space="preserve">Merchant support cost · Bad Reliability</t>
        </is>
      </c>
      <c r="C163" s="9">
        <f>SUM('Model inputs'!C223,'Model inputs'!C224)</f>
        <v>0</v>
      </c>
      <c r="D163" s="9">
        <f>SUM('Model inputs'!D223,'Model inputs'!D224)</f>
        <v>0</v>
      </c>
      <c r="E163" s="9">
        <f>SUM('Model inputs'!E223,'Model inputs'!E224)</f>
        <v>0</v>
      </c>
      <c r="F163" s="9">
        <f>SUM('Model inputs'!F223,'Model inputs'!F224)</f>
        <v>0</v>
      </c>
      <c r="G163" s="9">
        <f>SUM('Model inputs'!G223,'Model inputs'!G224)</f>
        <v>0</v>
      </c>
      <c r="H163" s="9">
        <f>SUM('Model inputs'!H223,'Model inputs'!H224)</f>
        <v>0</v>
      </c>
      <c r="I163" s="9">
        <f>SUM('Model inputs'!I223,'Model inputs'!I224)</f>
        <v>0</v>
      </c>
      <c r="J163" s="9">
        <f>SUM('Model inputs'!J223,'Model inputs'!J224)</f>
        <v>0</v>
      </c>
      <c r="K163" s="9">
        <f>SUM('Model inputs'!K223,'Model inputs'!K224)</f>
        <v>0</v>
      </c>
      <c r="L163" s="9">
        <f>SUM('Model inputs'!L223,'Model inputs'!L224)</f>
        <v>131.25</v>
      </c>
      <c r="M163" s="9">
        <f>SUM('Model inputs'!M223,'Model inputs'!M224)</f>
        <v>148.97500000000002</v>
      </c>
      <c r="N163" s="9">
        <f>SUM('Model inputs'!N223,'Model inputs'!N224)</f>
        <v>165.7315</v>
      </c>
      <c r="O163" s="9">
        <f>SUM('Model inputs'!O223,'Model inputs'!O224)</f>
        <v>181.57286</v>
      </c>
      <c r="P163" s="9">
        <f>SUM('Model inputs'!P223,'Model inputs'!P224)</f>
        <v>196.5494759</v>
      </c>
      <c r="Q163" s="9">
        <f>SUM('Model inputs'!Q223,'Model inputs'!Q224)</f>
        <v>210.708945471</v>
      </c>
      <c r="R163" s="9">
        <f>SUM('Model inputs'!R223,'Model inputs'!R224)</f>
        <v>224.09622496148998</v>
      </c>
      <c r="S163" s="9">
        <f>SUM('Model inputs'!S223,'Model inputs'!S224)</f>
        <v>236.75377687161307</v>
      </c>
      <c r="T163" s="9">
        <f>SUM('Model inputs'!T223,'Model inputs'!T224)</f>
        <v>248.72170939673816</v>
      </c>
      <c r="U163" s="9">
        <f>SUM('Model inputs'!U223,'Model inputs'!U224)</f>
        <v>260.03790801348464</v>
      </c>
      <c r="V163" s="9">
        <f>SUM('Model inputs'!V223,'Model inputs'!V224)</f>
        <v>270.73815965419885</v>
      </c>
      <c r="W163" s="9">
        <f>SUM('Model inputs'!W223,'Model inputs'!W224)</f>
        <v>280.85626989039395</v>
      </c>
      <c r="X163" s="9">
        <f>SUM('Model inputs'!X223,'Model inputs'!X224)</f>
        <v>290.42417352164506</v>
      </c>
      <c r="Y163" s="9">
        <f>SUM('Model inputs'!Y223,'Model inputs'!Y224)</f>
        <v>299.47203894378737</v>
      </c>
      <c r="Z163" s="9">
        <f>SUM('Model inputs'!Z223,'Model inputs'!Z224)</f>
        <v>308.0283666489291</v>
      </c>
      <c r="AA163" s="9">
        <f>SUM('Model inputs'!AA223,'Model inputs'!AA224)</f>
        <v>316.12008218967384</v>
      </c>
      <c r="AB163" s="9">
        <f>SUM('Model inputs'!AB223,'Model inputs'!AB224)</f>
        <v>323.7726239209899</v>
      </c>
      <c r="AC163" s="9">
        <f>SUM('Model inputs'!AC223,'Model inputs'!AC224)</f>
        <v>331.0100258152921</v>
      </c>
      <c r="AD163" s="9">
        <f>SUM('Model inputs'!AD223,'Model inputs'!AD224)</f>
        <v>337.85499562945813</v>
      </c>
      <c r="AE163" s="9">
        <f>SUM('Model inputs'!AE223,'Model inputs'!AE224)</f>
        <v>344.32898868662005</v>
      </c>
      <c r="AF163" s="9">
        <f>SUM('Model inputs'!AF223,'Model inputs'!AF224)</f>
        <v>350.4522775206058</v>
      </c>
      <c r="AG163" s="9">
        <f>SUM('Model inputs'!AG223,'Model inputs'!AG224)</f>
        <v>356.2440176167932</v>
      </c>
      <c r="AH163" s="9">
        <f>SUM('Model inputs'!AH223,'Model inputs'!AH224)</f>
        <v>361.72230946983814</v>
      </c>
      <c r="AI163" s="9">
        <f>SUM('Model inputs'!AI223,'Model inputs'!AI224)</f>
        <v>366.9042571661979</v>
      </c>
    </row>
    <row r="164">
      <c r="A164" t="inlineStr" s="22">
        <is>
          <t xml:space="preserve">Merchant support cost · Growth</t>
        </is>
      </c>
      <c r="C164" s="9">
        <f>SUM('Model inputs'!C226,'Model inputs'!C227)</f>
        <v>0</v>
      </c>
      <c r="D164" s="9">
        <f>SUM('Model inputs'!D226,'Model inputs'!D227)</f>
        <v>0</v>
      </c>
      <c r="E164" s="9">
        <f>SUM('Model inputs'!E226,'Model inputs'!E227)</f>
        <v>0</v>
      </c>
      <c r="F164" s="9">
        <f>SUM('Model inputs'!F226,'Model inputs'!F227)</f>
        <v>0</v>
      </c>
      <c r="G164" s="9">
        <f>SUM('Model inputs'!G226,'Model inputs'!G227)</f>
        <v>0</v>
      </c>
      <c r="H164" s="9">
        <f>SUM('Model inputs'!H226,'Model inputs'!H227)</f>
        <v>0</v>
      </c>
      <c r="I164" s="9">
        <f>SUM('Model inputs'!I226,'Model inputs'!I227)</f>
        <v>0</v>
      </c>
      <c r="J164" s="9">
        <f>SUM('Model inputs'!J226,'Model inputs'!J227)</f>
        <v>0</v>
      </c>
      <c r="K164" s="9">
        <f>SUM('Model inputs'!K226,'Model inputs'!K227)</f>
        <v>0</v>
      </c>
      <c r="L164" s="9">
        <f>SUM('Model inputs'!L226,'Model inputs'!L227)</f>
        <v>92.75</v>
      </c>
      <c r="M164" s="9">
        <f>SUM('Model inputs'!M226,'Model inputs'!M227)</f>
        <v>128.611875</v>
      </c>
      <c r="N164" s="9">
        <f>SUM('Model inputs'!N226,'Model inputs'!N227)</f>
        <v>163.847009375</v>
      </c>
      <c r="O164" s="9">
        <f>SUM('Model inputs'!O226,'Model inputs'!O227)</f>
        <v>198.46658048437502</v>
      </c>
      <c r="P164" s="9">
        <f>SUM('Model inputs'!P226,'Model inputs'!P227)</f>
        <v>232.4815625021094</v>
      </c>
      <c r="Q164" s="9">
        <f>SUM('Model inputs'!Q226,'Model inputs'!Q227)</f>
        <v>265.90273017507775</v>
      </c>
      <c r="R164" s="9">
        <f>SUM('Model inputs'!R226,'Model inputs'!R227)</f>
        <v>298.7406625107416</v>
      </c>
      <c r="S164" s="9">
        <f>SUM('Model inputs'!S226,'Model inputs'!S227)</f>
        <v>331.00574639560466</v>
      </c>
      <c r="T164" s="9">
        <f>SUM('Model inputs'!T226,'Model inputs'!T227)</f>
        <v>362.7081801457443</v>
      </c>
      <c r="U164" s="9">
        <f>SUM('Model inputs'!U226,'Model inputs'!U227)</f>
        <v>393.8579769907104</v>
      </c>
      <c r="V164" s="9">
        <f>SUM('Model inputs'!V226,'Model inputs'!V227)</f>
        <v>424.4649684920589</v>
      </c>
      <c r="W164" s="9">
        <f>SUM('Model inputs'!W226,'Model inputs'!W227)</f>
        <v>454.53880789776304</v>
      </c>
      <c r="X164" s="9">
        <f>SUM('Model inputs'!X226,'Model inputs'!X227)</f>
        <v>484.08897343371984</v>
      </c>
      <c r="Y164" s="9">
        <f>SUM('Model inputs'!Y226,'Model inputs'!Y227)</f>
        <v>513.1247715335489</v>
      </c>
      <c r="Z164" s="9">
        <f>SUM('Model inputs'!Z226,'Model inputs'!Z227)</f>
        <v>541.6553400078539</v>
      </c>
      <c r="AA164" s="9">
        <f>SUM('Model inputs'!AA226,'Model inputs'!AA227)</f>
        <v>569.6896511540981</v>
      </c>
      <c r="AB164" s="9">
        <f>SUM('Model inputs'!AB226,'Model inputs'!AB227)</f>
        <v>597.2365148082213</v>
      </c>
      <c r="AC164" s="9">
        <f>SUM('Model inputs'!AC226,'Model inputs'!AC227)</f>
        <v>624.3045813391041</v>
      </c>
      <c r="AD164" s="9">
        <f>SUM('Model inputs'!AD226,'Model inputs'!AD227)</f>
        <v>650.9023445869633</v>
      </c>
      <c r="AE164" s="9">
        <f>SUM('Model inputs'!AE226,'Model inputs'!AE227)</f>
        <v>677.038144746746</v>
      </c>
      <c r="AF164" s="9">
        <f>SUM('Model inputs'!AF226,'Model inputs'!AF227)</f>
        <v>702.7201711975599</v>
      </c>
      <c r="AG164" s="9">
        <f>SUM('Model inputs'!AG226,'Model inputs'!AG227)</f>
        <v>727.9564652791715</v>
      </c>
      <c r="AH164" s="9">
        <f>SUM('Model inputs'!AH226,'Model inputs'!AH227)</f>
        <v>752.7549230165674</v>
      </c>
      <c r="AI164" s="9">
        <f>SUM('Model inputs'!AI226,'Model inputs'!AI227)</f>
        <v>777.1232977935708</v>
      </c>
    </row>
    <row r="165">
      <c r="A165" t="inlineStr" s="22">
        <is>
          <t xml:space="preserve">Onboarding cost · Bad Reliability</t>
        </is>
      </c>
      <c r="C165" s="9">
        <f>SUM('Model inputs'!C229,'Model inputs'!C230)</f>
        <v>0</v>
      </c>
      <c r="D165" s="9">
        <f>SUM('Model inputs'!D229,'Model inputs'!D230)</f>
        <v>0</v>
      </c>
      <c r="E165" s="9">
        <f>SUM('Model inputs'!E229,'Model inputs'!E230)</f>
        <v>0</v>
      </c>
      <c r="F165" s="9">
        <f>SUM('Model inputs'!F229,'Model inputs'!F230)</f>
        <v>0</v>
      </c>
      <c r="G165" s="9">
        <f>SUM('Model inputs'!G229,'Model inputs'!G230)</f>
        <v>0</v>
      </c>
      <c r="H165" s="9">
        <f>SUM('Model inputs'!H229,'Model inputs'!H230)</f>
        <v>0</v>
      </c>
      <c r="I165" s="9">
        <f>SUM('Model inputs'!I229,'Model inputs'!I230)</f>
        <v>0</v>
      </c>
      <c r="J165" s="9">
        <f>SUM('Model inputs'!J229,'Model inputs'!J230)</f>
        <v>0</v>
      </c>
      <c r="K165" s="9">
        <f>SUM('Model inputs'!K229,'Model inputs'!K230)</f>
        <v>0</v>
      </c>
      <c r="L165" s="9">
        <f>SUM('Model inputs'!L229,'Model inputs'!L230)</f>
        <v>56.25</v>
      </c>
      <c r="M165" s="9">
        <f>SUM('Model inputs'!M229,'Model inputs'!M230)</f>
        <v>56.25</v>
      </c>
      <c r="N165" s="9">
        <f>SUM('Model inputs'!N229,'Model inputs'!N230)</f>
        <v>56.25</v>
      </c>
      <c r="O165" s="9">
        <f>SUM('Model inputs'!O229,'Model inputs'!O230)</f>
        <v>56.25</v>
      </c>
      <c r="P165" s="9">
        <f>SUM('Model inputs'!P229,'Model inputs'!P230)</f>
        <v>56.25</v>
      </c>
      <c r="Q165" s="9">
        <f>SUM('Model inputs'!Q229,'Model inputs'!Q230)</f>
        <v>56.25</v>
      </c>
      <c r="R165" s="9">
        <f>SUM('Model inputs'!R229,'Model inputs'!R230)</f>
        <v>56.25</v>
      </c>
      <c r="S165" s="9">
        <f>SUM('Model inputs'!S229,'Model inputs'!S230)</f>
        <v>56.25</v>
      </c>
      <c r="T165" s="9">
        <f>SUM('Model inputs'!T229,'Model inputs'!T230)</f>
        <v>56.25</v>
      </c>
      <c r="U165" s="9">
        <f>SUM('Model inputs'!U229,'Model inputs'!U230)</f>
        <v>56.25</v>
      </c>
      <c r="V165" s="9">
        <f>SUM('Model inputs'!V229,'Model inputs'!V230)</f>
        <v>56.25</v>
      </c>
      <c r="W165" s="9">
        <f>SUM('Model inputs'!W229,'Model inputs'!W230)</f>
        <v>56.25</v>
      </c>
      <c r="X165" s="9">
        <f>SUM('Model inputs'!X229,'Model inputs'!X230)</f>
        <v>56.25</v>
      </c>
      <c r="Y165" s="9">
        <f>SUM('Model inputs'!Y229,'Model inputs'!Y230)</f>
        <v>56.25</v>
      </c>
      <c r="Z165" s="9">
        <f>SUM('Model inputs'!Z229,'Model inputs'!Z230)</f>
        <v>56.25</v>
      </c>
      <c r="AA165" s="9">
        <f>SUM('Model inputs'!AA229,'Model inputs'!AA230)</f>
        <v>56.25</v>
      </c>
      <c r="AB165" s="9">
        <f>SUM('Model inputs'!AB229,'Model inputs'!AB230)</f>
        <v>56.25</v>
      </c>
      <c r="AC165" s="9">
        <f>SUM('Model inputs'!AC229,'Model inputs'!AC230)</f>
        <v>56.25</v>
      </c>
      <c r="AD165" s="9">
        <f>SUM('Model inputs'!AD229,'Model inputs'!AD230)</f>
        <v>56.25</v>
      </c>
      <c r="AE165" s="9">
        <f>SUM('Model inputs'!AE229,'Model inputs'!AE230)</f>
        <v>56.25</v>
      </c>
      <c r="AF165" s="9">
        <f>SUM('Model inputs'!AF229,'Model inputs'!AF230)</f>
        <v>56.25</v>
      </c>
      <c r="AG165" s="9">
        <f>SUM('Model inputs'!AG229,'Model inputs'!AG230)</f>
        <v>56.25</v>
      </c>
      <c r="AH165" s="9">
        <f>SUM('Model inputs'!AH229,'Model inputs'!AH230)</f>
        <v>56.25</v>
      </c>
      <c r="AI165" s="9">
        <f>SUM('Model inputs'!AI229,'Model inputs'!AI230)</f>
        <v>56.25</v>
      </c>
    </row>
    <row r="166">
      <c r="A166" t="inlineStr" s="22">
        <is>
          <t xml:space="preserve">Onboarding cost · Growth</t>
        </is>
      </c>
      <c r="C166" s="9">
        <f>SUM('Model inputs'!C232,'Model inputs'!C233)</f>
        <v>0</v>
      </c>
      <c r="D166" s="9">
        <f>SUM('Model inputs'!D232,'Model inputs'!D233)</f>
        <v>0</v>
      </c>
      <c r="E166" s="9">
        <f>SUM('Model inputs'!E232,'Model inputs'!E233)</f>
        <v>0</v>
      </c>
      <c r="F166" s="9">
        <f>SUM('Model inputs'!F232,'Model inputs'!F233)</f>
        <v>0</v>
      </c>
      <c r="G166" s="9">
        <f>SUM('Model inputs'!G232,'Model inputs'!G233)</f>
        <v>0</v>
      </c>
      <c r="H166" s="9">
        <f>SUM('Model inputs'!H232,'Model inputs'!H233)</f>
        <v>0</v>
      </c>
      <c r="I166" s="9">
        <f>SUM('Model inputs'!I232,'Model inputs'!I233)</f>
        <v>0</v>
      </c>
      <c r="J166" s="9">
        <f>SUM('Model inputs'!J232,'Model inputs'!J233)</f>
        <v>0</v>
      </c>
      <c r="K166" s="9">
        <f>SUM('Model inputs'!K232,'Model inputs'!K233)</f>
        <v>0</v>
      </c>
      <c r="L166" s="9">
        <f>SUM('Model inputs'!L232,'Model inputs'!L233)</f>
        <v>168.75</v>
      </c>
      <c r="M166" s="9">
        <f>SUM('Model inputs'!M232,'Model inputs'!M233)</f>
        <v>168.75</v>
      </c>
      <c r="N166" s="9">
        <f>SUM('Model inputs'!N232,'Model inputs'!N233)</f>
        <v>168.75</v>
      </c>
      <c r="O166" s="9">
        <f>SUM('Model inputs'!O232,'Model inputs'!O233)</f>
        <v>168.75</v>
      </c>
      <c r="P166" s="9">
        <f>SUM('Model inputs'!P232,'Model inputs'!P233)</f>
        <v>168.75</v>
      </c>
      <c r="Q166" s="9">
        <f>SUM('Model inputs'!Q232,'Model inputs'!Q233)</f>
        <v>168.75</v>
      </c>
      <c r="R166" s="9">
        <f>SUM('Model inputs'!R232,'Model inputs'!R233)</f>
        <v>168.75</v>
      </c>
      <c r="S166" s="9">
        <f>SUM('Model inputs'!S232,'Model inputs'!S233)</f>
        <v>168.75</v>
      </c>
      <c r="T166" s="9">
        <f>SUM('Model inputs'!T232,'Model inputs'!T233)</f>
        <v>168.75</v>
      </c>
      <c r="U166" s="9">
        <f>SUM('Model inputs'!U232,'Model inputs'!U233)</f>
        <v>168.75</v>
      </c>
      <c r="V166" s="9">
        <f>SUM('Model inputs'!V232,'Model inputs'!V233)</f>
        <v>168.75</v>
      </c>
      <c r="W166" s="9">
        <f>SUM('Model inputs'!W232,'Model inputs'!W233)</f>
        <v>168.75</v>
      </c>
      <c r="X166" s="9">
        <f>SUM('Model inputs'!X232,'Model inputs'!X233)</f>
        <v>168.75</v>
      </c>
      <c r="Y166" s="9">
        <f>SUM('Model inputs'!Y232,'Model inputs'!Y233)</f>
        <v>168.75</v>
      </c>
      <c r="Z166" s="9">
        <f>SUM('Model inputs'!Z232,'Model inputs'!Z233)</f>
        <v>168.75</v>
      </c>
      <c r="AA166" s="9">
        <f>SUM('Model inputs'!AA232,'Model inputs'!AA233)</f>
        <v>168.75</v>
      </c>
      <c r="AB166" s="9">
        <f>SUM('Model inputs'!AB232,'Model inputs'!AB233)</f>
        <v>168.75</v>
      </c>
      <c r="AC166" s="9">
        <f>SUM('Model inputs'!AC232,'Model inputs'!AC233)</f>
        <v>168.75</v>
      </c>
      <c r="AD166" s="9">
        <f>SUM('Model inputs'!AD232,'Model inputs'!AD233)</f>
        <v>168.75</v>
      </c>
      <c r="AE166" s="9">
        <f>SUM('Model inputs'!AE232,'Model inputs'!AE233)</f>
        <v>168.75</v>
      </c>
      <c r="AF166" s="9">
        <f>SUM('Model inputs'!AF232,'Model inputs'!AF233)</f>
        <v>168.75</v>
      </c>
      <c r="AG166" s="9">
        <f>SUM('Model inputs'!AG232,'Model inputs'!AG233)</f>
        <v>168.75</v>
      </c>
      <c r="AH166" s="9">
        <f>SUM('Model inputs'!AH232,'Model inputs'!AH233)</f>
        <v>168.75</v>
      </c>
      <c r="AI166" s="9">
        <f>SUM('Model inputs'!AI232,'Model inputs'!AI233)</f>
        <v>168.75</v>
      </c>
    </row>
    <row r="167">
      <c r="A167" t="inlineStr" s="22">
        <is>
          <t xml:space="preserve">Other overhead · Bad Reliability</t>
        </is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f>IF('Model inputs'!B234="","",'Model inputs'!B234)</f>
        <v>150</v>
      </c>
      <c r="M167" s="9">
        <f>IF('Model inputs'!B234="","",'Model inputs'!B234)</f>
        <v>150</v>
      </c>
      <c r="N167" s="9">
        <f>IF('Model inputs'!B234="","",'Model inputs'!B234)</f>
        <v>150</v>
      </c>
      <c r="O167" s="9">
        <f>IF('Model inputs'!B234="","",'Model inputs'!B234)</f>
        <v>150</v>
      </c>
      <c r="P167" s="9">
        <f>IF('Model inputs'!B234="","",'Model inputs'!B234)</f>
        <v>150</v>
      </c>
      <c r="Q167" s="9">
        <f>IF('Model inputs'!B234="","",'Model inputs'!B234)</f>
        <v>150</v>
      </c>
      <c r="R167" s="9">
        <f>IF('Model inputs'!B234="","",'Model inputs'!B234)</f>
        <v>150</v>
      </c>
      <c r="S167" s="9">
        <f>IF('Model inputs'!B234="","",'Model inputs'!B234)</f>
        <v>150</v>
      </c>
      <c r="T167" s="9">
        <f>IF('Model inputs'!B234="","",'Model inputs'!B234)</f>
        <v>150</v>
      </c>
      <c r="U167" s="9">
        <f>IF('Model inputs'!B234="","",'Model inputs'!B234)</f>
        <v>150</v>
      </c>
      <c r="V167" s="9">
        <f>IF('Model inputs'!B234="","",'Model inputs'!B234)</f>
        <v>150</v>
      </c>
      <c r="W167" s="9">
        <f>IF('Model inputs'!B234="","",'Model inputs'!B234)</f>
        <v>150</v>
      </c>
      <c r="X167" s="9">
        <f>IF('Model inputs'!B234="","",'Model inputs'!B234)</f>
        <v>150</v>
      </c>
      <c r="Y167" s="9">
        <f>IF('Model inputs'!B234="","",'Model inputs'!B234)</f>
        <v>150</v>
      </c>
      <c r="Z167" s="9">
        <f>IF('Model inputs'!B234="","",'Model inputs'!B234)</f>
        <v>150</v>
      </c>
      <c r="AA167" s="9">
        <f>IF('Model inputs'!B234="","",'Model inputs'!B234)</f>
        <v>150</v>
      </c>
      <c r="AB167" s="9">
        <f>IF('Model inputs'!B234="","",'Model inputs'!B234)</f>
        <v>150</v>
      </c>
      <c r="AC167" s="9">
        <f>IF('Model inputs'!B234="","",'Model inputs'!B234)</f>
        <v>150</v>
      </c>
      <c r="AD167" s="9">
        <f>IF('Model inputs'!B234="","",'Model inputs'!B234)</f>
        <v>150</v>
      </c>
      <c r="AE167" s="9">
        <f>IF('Model inputs'!B234="","",'Model inputs'!B234)</f>
        <v>150</v>
      </c>
      <c r="AF167" s="9">
        <f>IF('Model inputs'!B234="","",'Model inputs'!B234)</f>
        <v>150</v>
      </c>
      <c r="AG167" s="9">
        <f>IF('Model inputs'!B234="","",'Model inputs'!B234)</f>
        <v>150</v>
      </c>
      <c r="AH167" s="9">
        <f>IF('Model inputs'!B234="","",'Model inputs'!B234)</f>
        <v>150</v>
      </c>
      <c r="AI167" s="9">
        <f>IF('Model inputs'!B234="","",'Model inputs'!B234)</f>
        <v>150</v>
      </c>
    </row>
    <row r="168">
      <c r="A168" t="inlineStr" s="22">
        <is>
          <t xml:space="preserve">Other overhead · Growth</t>
        </is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f>IF('Model inputs'!B235="","",'Model inputs'!B235)</f>
        <v>150</v>
      </c>
      <c r="M168" s="9">
        <f>IF('Model inputs'!B235="","",'Model inputs'!B235)</f>
        <v>150</v>
      </c>
      <c r="N168" s="9">
        <f>IF('Model inputs'!B235="","",'Model inputs'!B235)</f>
        <v>150</v>
      </c>
      <c r="O168" s="9">
        <f>IF('Model inputs'!B235="","",'Model inputs'!B235)</f>
        <v>150</v>
      </c>
      <c r="P168" s="9">
        <f>IF('Model inputs'!B235="","",'Model inputs'!B235)</f>
        <v>150</v>
      </c>
      <c r="Q168" s="9">
        <f>IF('Model inputs'!B235="","",'Model inputs'!B235)</f>
        <v>150</v>
      </c>
      <c r="R168" s="9">
        <f>IF('Model inputs'!B235="","",'Model inputs'!B235)</f>
        <v>150</v>
      </c>
      <c r="S168" s="9">
        <f>IF('Model inputs'!B235="","",'Model inputs'!B235)</f>
        <v>150</v>
      </c>
      <c r="T168" s="9">
        <f>IF('Model inputs'!B235="","",'Model inputs'!B235)</f>
        <v>150</v>
      </c>
      <c r="U168" s="9">
        <f>IF('Model inputs'!B235="","",'Model inputs'!B235)</f>
        <v>150</v>
      </c>
      <c r="V168" s="9">
        <f>IF('Model inputs'!B235="","",'Model inputs'!B235)</f>
        <v>150</v>
      </c>
      <c r="W168" s="9">
        <f>IF('Model inputs'!B235="","",'Model inputs'!B235)</f>
        <v>150</v>
      </c>
      <c r="X168" s="9">
        <f>IF('Model inputs'!B235="","",'Model inputs'!B235)</f>
        <v>150</v>
      </c>
      <c r="Y168" s="9">
        <f>IF('Model inputs'!B235="","",'Model inputs'!B235)</f>
        <v>150</v>
      </c>
      <c r="Z168" s="9">
        <f>IF('Model inputs'!B235="","",'Model inputs'!B235)</f>
        <v>150</v>
      </c>
      <c r="AA168" s="9">
        <f>IF('Model inputs'!B235="","",'Model inputs'!B235)</f>
        <v>150</v>
      </c>
      <c r="AB168" s="9">
        <f>IF('Model inputs'!B235="","",'Model inputs'!B235)</f>
        <v>150</v>
      </c>
      <c r="AC168" s="9">
        <f>IF('Model inputs'!B235="","",'Model inputs'!B235)</f>
        <v>150</v>
      </c>
      <c r="AD168" s="9">
        <f>IF('Model inputs'!B235="","",'Model inputs'!B235)</f>
        <v>150</v>
      </c>
      <c r="AE168" s="9">
        <f>IF('Model inputs'!B235="","",'Model inputs'!B235)</f>
        <v>150</v>
      </c>
      <c r="AF168" s="9">
        <f>IF('Model inputs'!B235="","",'Model inputs'!B235)</f>
        <v>150</v>
      </c>
      <c r="AG168" s="9">
        <f>IF('Model inputs'!B235="","",'Model inputs'!B235)</f>
        <v>150</v>
      </c>
      <c r="AH168" s="9">
        <f>IF('Model inputs'!B235="","",'Model inputs'!B235)</f>
        <v>150</v>
      </c>
      <c r="AI168" s="9">
        <f>IF('Model inputs'!B235="","",'Model inputs'!B235)</f>
        <v>150</v>
      </c>
    </row>
    <row r="169">
      <c r="A169" t="inlineStr" s="22">
        <is>
          <t xml:space="preserve">Overage revenue</t>
        </is>
      </c>
      <c r="C169" s="10">
        <f>SUM('Model inputs'!C170,'Model inputs'!C171)</f>
        <v>0</v>
      </c>
      <c r="D169" s="10">
        <f>SUM('Model inputs'!D170,'Model inputs'!D171)</f>
        <v>0</v>
      </c>
      <c r="E169" s="10">
        <f>SUM('Model inputs'!E170,'Model inputs'!E171)</f>
        <v>0</v>
      </c>
      <c r="F169" s="10">
        <f>SUM('Model inputs'!F170,'Model inputs'!F171)</f>
        <v>0</v>
      </c>
      <c r="G169" s="10">
        <f>SUM('Model inputs'!G170,'Model inputs'!G171)</f>
        <v>0</v>
      </c>
      <c r="H169" s="10">
        <f>SUM('Model inputs'!H170,'Model inputs'!H171)</f>
        <v>0</v>
      </c>
      <c r="I169" s="10">
        <f>SUM('Model inputs'!I170,'Model inputs'!I171)</f>
        <v>0</v>
      </c>
      <c r="J169" s="10">
        <f>SUM('Model inputs'!J170,'Model inputs'!J171)</f>
        <v>0</v>
      </c>
      <c r="K169" s="10">
        <f>SUM('Model inputs'!K170,'Model inputs'!K171)</f>
        <v>0</v>
      </c>
      <c r="L169" s="10">
        <f>SUM('Model inputs'!L170,'Model inputs'!L171)</f>
        <v>96</v>
      </c>
      <c r="M169" s="10">
        <f>SUM('Model inputs'!M170,'Model inputs'!M171)</f>
        <v>111.19999999999999</v>
      </c>
      <c r="N169" s="10">
        <f>SUM('Model inputs'!N170,'Model inputs'!N171)</f>
        <v>125.64</v>
      </c>
      <c r="O169" s="10">
        <f>SUM('Model inputs'!O170,'Model inputs'!O171)</f>
        <v>139.358</v>
      </c>
      <c r="P169" s="10">
        <f>SUM('Model inputs'!P170,'Model inputs'!P171)</f>
        <v>152.39010000000002</v>
      </c>
      <c r="Q169" s="10">
        <f>SUM('Model inputs'!Q170,'Model inputs'!Q171)</f>
        <v>164.770595</v>
      </c>
      <c r="R169" s="10">
        <f>SUM('Model inputs'!R170,'Model inputs'!R171)</f>
        <v>176.53206525</v>
      </c>
      <c r="S169" s="10">
        <f>SUM('Model inputs'!S170,'Model inputs'!S171)</f>
        <v>187.70546198749997</v>
      </c>
      <c r="T169" s="10">
        <f>SUM('Model inputs'!T170,'Model inputs'!T171)</f>
        <v>198.320188888125</v>
      </c>
      <c r="U169" s="10">
        <f>SUM('Model inputs'!U170,'Model inputs'!U171)</f>
        <v>208.40417944371876</v>
      </c>
      <c r="V169" s="10">
        <f>SUM('Model inputs'!V170,'Model inputs'!V171)</f>
        <v>217.9839704715328</v>
      </c>
      <c r="W169" s="10">
        <f>SUM('Model inputs'!W170,'Model inputs'!W171)</f>
        <v>227.08477194795617</v>
      </c>
      <c r="X169" s="10">
        <f>SUM('Model inputs'!X170,'Model inputs'!X171)</f>
        <v>235.73053335055835</v>
      </c>
      <c r="Y169" s="10">
        <f>SUM('Model inputs'!Y170,'Model inputs'!Y171)</f>
        <v>243.9440066830304</v>
      </c>
      <c r="Z169" s="10">
        <f>SUM('Model inputs'!Z170,'Model inputs'!Z171)</f>
        <v>251.74680634887892</v>
      </c>
      <c r="AA169" s="10">
        <f>SUM('Model inputs'!AA170,'Model inputs'!AA171)</f>
        <v>259.15946603143493</v>
      </c>
      <c r="AB169" s="10">
        <f>SUM('Model inputs'!AB170,'Model inputs'!AB171)</f>
        <v>266.2014927298632</v>
      </c>
      <c r="AC169" s="10">
        <f>SUM('Model inputs'!AC170,'Model inputs'!AC171)</f>
        <v>272.89141809337</v>
      </c>
      <c r="AD169" s="10">
        <f>SUM('Model inputs'!AD170,'Model inputs'!AD171)</f>
        <v>279.2468471887015</v>
      </c>
      <c r="AE169" s="10">
        <f>SUM('Model inputs'!AE170,'Model inputs'!AE171)</f>
        <v>285.2845048292665</v>
      </c>
      <c r="AF169" s="10">
        <f>SUM('Model inputs'!AF170,'Model inputs'!AF171)</f>
        <v>291.02027958780315</v>
      </c>
      <c r="AG169" s="10">
        <f>SUM('Model inputs'!AG170,'Model inputs'!AG171)</f>
        <v>296.469265608413</v>
      </c>
      <c r="AH169" s="10">
        <f>SUM('Model inputs'!AH170,'Model inputs'!AH171)</f>
        <v>301.6458023279923</v>
      </c>
      <c r="AI169" s="10">
        <f>SUM('Model inputs'!AI170,'Model inputs'!AI171)</f>
        <v>306.56351221159275</v>
      </c>
    </row>
    <row r="170" outlineLevel="1">
      <c r="A170" t="inlineStr" s="23">
        <is>
          <t xml:space="preserve">Overage revenue &gt; Growing shop</t>
        </is>
      </c>
      <c r="C170" s="8">
        <f>'Model inputs'!C83</f>
        <v>0</v>
      </c>
      <c r="D170" s="8">
        <f>'Model inputs'!D83</f>
        <v>0</v>
      </c>
      <c r="E170" s="8">
        <f>'Model inputs'!E83</f>
        <v>0</v>
      </c>
      <c r="F170" s="8">
        <f>'Model inputs'!F83</f>
        <v>0</v>
      </c>
      <c r="G170" s="8">
        <f>'Model inputs'!G83</f>
        <v>0</v>
      </c>
      <c r="H170" s="8">
        <f>'Model inputs'!H83</f>
        <v>0</v>
      </c>
      <c r="I170" s="8">
        <f>'Model inputs'!I83</f>
        <v>0</v>
      </c>
      <c r="J170" s="8">
        <f>'Model inputs'!J83</f>
        <v>0</v>
      </c>
      <c r="K170" s="8">
        <f>'SwapDesk — Operations · Merchan'!B36</f>
        <v>0</v>
      </c>
      <c r="L170" s="8">
        <f>'Model inputs'!L197*MAX('Model inputs'!B191*'Model inputs'!B241-'Model inputs'!B208,0)*'Model inputs'!B236</f>
        <v>96</v>
      </c>
      <c r="M170" s="8">
        <f>'Model inputs'!M197*MAX('Model inputs'!B191*'Model inputs'!B241-'Model inputs'!B208,0)*'Model inputs'!B236</f>
        <v>111.19999999999999</v>
      </c>
      <c r="N170" s="8">
        <f>'Model inputs'!N197*MAX('Model inputs'!B191*'Model inputs'!B241-'Model inputs'!B208,0)*'Model inputs'!B236</f>
        <v>125.64</v>
      </c>
      <c r="O170" s="8">
        <f>'Model inputs'!O197*MAX('Model inputs'!B191*'Model inputs'!B241-'Model inputs'!B208,0)*'Model inputs'!B236</f>
        <v>139.358</v>
      </c>
      <c r="P170" s="8">
        <f>'Model inputs'!P197*MAX('Model inputs'!B191*'Model inputs'!B241-'Model inputs'!B208,0)*'Model inputs'!B236</f>
        <v>152.39010000000002</v>
      </c>
      <c r="Q170" s="8">
        <f>'Model inputs'!Q197*MAX('Model inputs'!B191*'Model inputs'!B241-'Model inputs'!B208,0)*'Model inputs'!B236</f>
        <v>164.770595</v>
      </c>
      <c r="R170" s="8">
        <f>'Model inputs'!R197*MAX('Model inputs'!B191*'Model inputs'!B241-'Model inputs'!B208,0)*'Model inputs'!B236</f>
        <v>176.53206525</v>
      </c>
      <c r="S170" s="8">
        <f>'Model inputs'!S197*MAX('Model inputs'!B191*'Model inputs'!B241-'Model inputs'!B208,0)*'Model inputs'!B236</f>
        <v>187.70546198749997</v>
      </c>
      <c r="T170" s="8">
        <f>'Model inputs'!T197*MAX('Model inputs'!B191*'Model inputs'!B241-'Model inputs'!B208,0)*'Model inputs'!B236</f>
        <v>198.320188888125</v>
      </c>
      <c r="U170" s="8">
        <f>'Model inputs'!U197*MAX('Model inputs'!B191*'Model inputs'!B241-'Model inputs'!B208,0)*'Model inputs'!B236</f>
        <v>208.40417944371876</v>
      </c>
      <c r="V170" s="8">
        <f>'Model inputs'!V197*MAX('Model inputs'!B191*'Model inputs'!B241-'Model inputs'!B208,0)*'Model inputs'!B236</f>
        <v>217.9839704715328</v>
      </c>
      <c r="W170" s="8">
        <f>'Model inputs'!W197*MAX('Model inputs'!B191*'Model inputs'!B241-'Model inputs'!B208,0)*'Model inputs'!B236</f>
        <v>227.08477194795617</v>
      </c>
      <c r="X170" s="8">
        <f>'Model inputs'!X197*MAX('Model inputs'!B191*'Model inputs'!B241-'Model inputs'!B208,0)*'Model inputs'!B236</f>
        <v>235.73053335055835</v>
      </c>
      <c r="Y170" s="8">
        <f>'Model inputs'!Y197*MAX('Model inputs'!B191*'Model inputs'!B241-'Model inputs'!B208,0)*'Model inputs'!B236</f>
        <v>243.9440066830304</v>
      </c>
      <c r="Z170" s="8">
        <f>'Model inputs'!Z197*MAX('Model inputs'!B191*'Model inputs'!B241-'Model inputs'!B208,0)*'Model inputs'!B236</f>
        <v>251.74680634887892</v>
      </c>
      <c r="AA170" s="8">
        <f>'Model inputs'!AA197*MAX('Model inputs'!B191*'Model inputs'!B241-'Model inputs'!B208,0)*'Model inputs'!B236</f>
        <v>259.15946603143493</v>
      </c>
      <c r="AB170" s="8">
        <f>'Model inputs'!AB197*MAX('Model inputs'!B191*'Model inputs'!B241-'Model inputs'!B208,0)*'Model inputs'!B236</f>
        <v>266.2014927298632</v>
      </c>
      <c r="AC170" s="8">
        <f>'Model inputs'!AC197*MAX('Model inputs'!B191*'Model inputs'!B241-'Model inputs'!B208,0)*'Model inputs'!B236</f>
        <v>272.89141809337</v>
      </c>
      <c r="AD170" s="8">
        <f>'Model inputs'!AD197*MAX('Model inputs'!B191*'Model inputs'!B241-'Model inputs'!B208,0)*'Model inputs'!B236</f>
        <v>279.2468471887015</v>
      </c>
      <c r="AE170" s="8">
        <f>'Model inputs'!AE197*MAX('Model inputs'!B191*'Model inputs'!B241-'Model inputs'!B208,0)*'Model inputs'!B236</f>
        <v>285.2845048292665</v>
      </c>
      <c r="AF170" s="8">
        <f>'Model inputs'!AF197*MAX('Model inputs'!B191*'Model inputs'!B241-'Model inputs'!B208,0)*'Model inputs'!B236</f>
        <v>291.02027958780315</v>
      </c>
      <c r="AG170" s="8">
        <f>'Model inputs'!AG197*MAX('Model inputs'!B191*'Model inputs'!B241-'Model inputs'!B208,0)*'Model inputs'!B236</f>
        <v>296.469265608413</v>
      </c>
      <c r="AH170" s="8">
        <f>'Model inputs'!AH197*MAX('Model inputs'!B191*'Model inputs'!B241-'Model inputs'!B208,0)*'Model inputs'!B236</f>
        <v>301.6458023279923</v>
      </c>
      <c r="AI170" s="8">
        <f>'Model inputs'!AI197*MAX('Model inputs'!B191*'Model inputs'!B241-'Model inputs'!B208,0)*'Model inputs'!B236</f>
        <v>306.56351221159275</v>
      </c>
    </row>
    <row r="171" outlineLevel="1">
      <c r="A171" t="inlineStr" s="23">
        <is>
          <t xml:space="preserve">Overage revenue &gt; Small shop</t>
        </is>
      </c>
      <c r="C171" s="8">
        <f>'Model inputs'!C84</f>
        <v>0</v>
      </c>
      <c r="D171" s="8">
        <f>'Model inputs'!D84</f>
        <v>0</v>
      </c>
      <c r="E171" s="8">
        <f>'Model inputs'!E84</f>
        <v>0</v>
      </c>
      <c r="F171" s="8">
        <f>'Model inputs'!F84</f>
        <v>0</v>
      </c>
      <c r="G171" s="8">
        <f>'Model inputs'!G84</f>
        <v>0</v>
      </c>
      <c r="H171" s="8">
        <f>'Model inputs'!H84</f>
        <v>0</v>
      </c>
      <c r="I171" s="8">
        <f>'Model inputs'!I84</f>
        <v>0</v>
      </c>
      <c r="J171" s="8">
        <f>'Model inputs'!J84</f>
        <v>0</v>
      </c>
      <c r="K171" s="8">
        <f>'SwapDesk — Operations · Merchan'!B37</f>
        <v>0</v>
      </c>
      <c r="L171" s="8">
        <f>'Model inputs'!L198*MAX('Model inputs'!B192*'Model inputs'!B242-'Model inputs'!B208,0)*'Model inputs'!B236</f>
        <v>0</v>
      </c>
      <c r="M171" s="8">
        <f>'Model inputs'!M198*MAX('Model inputs'!B192*'Model inputs'!B242-'Model inputs'!B208,0)*'Model inputs'!B236</f>
        <v>0</v>
      </c>
      <c r="N171" s="8">
        <f>'Model inputs'!N198*MAX('Model inputs'!B192*'Model inputs'!B242-'Model inputs'!B208,0)*'Model inputs'!B236</f>
        <v>0</v>
      </c>
      <c r="O171" s="8">
        <f>'Model inputs'!O198*MAX('Model inputs'!B192*'Model inputs'!B242-'Model inputs'!B208,0)*'Model inputs'!B236</f>
        <v>0</v>
      </c>
      <c r="P171" s="8">
        <f>'Model inputs'!P198*MAX('Model inputs'!B192*'Model inputs'!B242-'Model inputs'!B208,0)*'Model inputs'!B236</f>
        <v>0</v>
      </c>
      <c r="Q171" s="8">
        <f>'Model inputs'!Q198*MAX('Model inputs'!B192*'Model inputs'!B242-'Model inputs'!B208,0)*'Model inputs'!B236</f>
        <v>0</v>
      </c>
      <c r="R171" s="8">
        <f>'Model inputs'!R198*MAX('Model inputs'!B192*'Model inputs'!B242-'Model inputs'!B208,0)*'Model inputs'!B236</f>
        <v>0</v>
      </c>
      <c r="S171" s="8">
        <f>'Model inputs'!S198*MAX('Model inputs'!B192*'Model inputs'!B242-'Model inputs'!B208,0)*'Model inputs'!B236</f>
        <v>0</v>
      </c>
      <c r="T171" s="8">
        <f>'Model inputs'!T198*MAX('Model inputs'!B192*'Model inputs'!B242-'Model inputs'!B208,0)*'Model inputs'!B236</f>
        <v>0</v>
      </c>
      <c r="U171" s="8">
        <f>'Model inputs'!U198*MAX('Model inputs'!B192*'Model inputs'!B242-'Model inputs'!B208,0)*'Model inputs'!B236</f>
        <v>0</v>
      </c>
      <c r="V171" s="8">
        <f>'Model inputs'!V198*MAX('Model inputs'!B192*'Model inputs'!B242-'Model inputs'!B208,0)*'Model inputs'!B236</f>
        <v>0</v>
      </c>
      <c r="W171" s="8">
        <f>'Model inputs'!W198*MAX('Model inputs'!B192*'Model inputs'!B242-'Model inputs'!B208,0)*'Model inputs'!B236</f>
        <v>0</v>
      </c>
      <c r="X171" s="8">
        <f>'Model inputs'!X198*MAX('Model inputs'!B192*'Model inputs'!B242-'Model inputs'!B208,0)*'Model inputs'!B236</f>
        <v>0</v>
      </c>
      <c r="Y171" s="8">
        <f>'Model inputs'!Y198*MAX('Model inputs'!B192*'Model inputs'!B242-'Model inputs'!B208,0)*'Model inputs'!B236</f>
        <v>0</v>
      </c>
      <c r="Z171" s="8">
        <f>'Model inputs'!Z198*MAX('Model inputs'!B192*'Model inputs'!B242-'Model inputs'!B208,0)*'Model inputs'!B236</f>
        <v>0</v>
      </c>
      <c r="AA171" s="8">
        <f>'Model inputs'!AA198*MAX('Model inputs'!B192*'Model inputs'!B242-'Model inputs'!B208,0)*'Model inputs'!B236</f>
        <v>0</v>
      </c>
      <c r="AB171" s="8">
        <f>'Model inputs'!AB198*MAX('Model inputs'!B192*'Model inputs'!B242-'Model inputs'!B208,0)*'Model inputs'!B236</f>
        <v>0</v>
      </c>
      <c r="AC171" s="8">
        <f>'Model inputs'!AC198*MAX('Model inputs'!B192*'Model inputs'!B242-'Model inputs'!B208,0)*'Model inputs'!B236</f>
        <v>0</v>
      </c>
      <c r="AD171" s="8">
        <f>'Model inputs'!AD198*MAX('Model inputs'!B192*'Model inputs'!B242-'Model inputs'!B208,0)*'Model inputs'!B236</f>
        <v>0</v>
      </c>
      <c r="AE171" s="8">
        <f>'Model inputs'!AE198*MAX('Model inputs'!B192*'Model inputs'!B242-'Model inputs'!B208,0)*'Model inputs'!B236</f>
        <v>0</v>
      </c>
      <c r="AF171" s="8">
        <f>'Model inputs'!AF198*MAX('Model inputs'!B192*'Model inputs'!B242-'Model inputs'!B208,0)*'Model inputs'!B236</f>
        <v>0</v>
      </c>
      <c r="AG171" s="8">
        <f>'Model inputs'!AG198*MAX('Model inputs'!B192*'Model inputs'!B242-'Model inputs'!B208,0)*'Model inputs'!B236</f>
        <v>0</v>
      </c>
      <c r="AH171" s="8">
        <f>'Model inputs'!AH198*MAX('Model inputs'!B192*'Model inputs'!B242-'Model inputs'!B208,0)*'Model inputs'!B236</f>
        <v>0</v>
      </c>
      <c r="AI171" s="8">
        <f>'Model inputs'!AI198*MAX('Model inputs'!B192*'Model inputs'!B242-'Model inputs'!B208,0)*'Model inputs'!B236</f>
        <v>0</v>
      </c>
    </row>
    <row r="172">
      <c r="A172" t="inlineStr" s="22">
        <is>
          <t xml:space="preserve">Overage revenue</t>
        </is>
      </c>
      <c r="C172" s="10">
        <f>SUM('Model inputs'!C173,'Model inputs'!C174)</f>
        <v>0</v>
      </c>
      <c r="D172" s="10">
        <f>SUM('Model inputs'!D173,'Model inputs'!D174)</f>
        <v>0</v>
      </c>
      <c r="E172" s="10">
        <f>SUM('Model inputs'!E173,'Model inputs'!E174)</f>
        <v>0</v>
      </c>
      <c r="F172" s="10">
        <f>SUM('Model inputs'!F173,'Model inputs'!F174)</f>
        <v>0</v>
      </c>
      <c r="G172" s="10">
        <f>SUM('Model inputs'!G173,'Model inputs'!G174)</f>
        <v>0</v>
      </c>
      <c r="H172" s="10">
        <f>SUM('Model inputs'!H173,'Model inputs'!H174)</f>
        <v>0</v>
      </c>
      <c r="I172" s="10">
        <f>SUM('Model inputs'!I173,'Model inputs'!I174)</f>
        <v>0</v>
      </c>
      <c r="J172" s="10">
        <f>SUM('Model inputs'!J173,'Model inputs'!J174)</f>
        <v>0</v>
      </c>
      <c r="K172" s="10">
        <f>SUM('Model inputs'!K173,'Model inputs'!K174)</f>
        <v>0</v>
      </c>
      <c r="L172" s="10">
        <f>SUM('Model inputs'!L173,'Model inputs'!L174)</f>
        <v>347</v>
      </c>
      <c r="M172" s="10">
        <f>SUM('Model inputs'!M173,'Model inputs'!M174)</f>
        <v>491.795</v>
      </c>
      <c r="N172" s="10">
        <f>SUM('Model inputs'!N173,'Model inputs'!N174)</f>
        <v>634.418075</v>
      </c>
      <c r="O172" s="10">
        <f>SUM('Model inputs'!O173,'Model inputs'!O174)</f>
        <v>774.901803875</v>
      </c>
      <c r="P172" s="10">
        <f>SUM('Model inputs'!P173,'Model inputs'!P174)</f>
        <v>913.2782768168751</v>
      </c>
      <c r="Q172" s="10">
        <f>SUM('Model inputs'!Q173,'Model inputs'!Q174)</f>
        <v>1049.579102664622</v>
      </c>
      <c r="R172" s="10">
        <f>SUM('Model inputs'!R173,'Model inputs'!R174)</f>
        <v>1183.8354161246525</v>
      </c>
      <c r="S172" s="10">
        <f>SUM('Model inputs'!S173,'Model inputs'!S174)</f>
        <v>1316.0778848827829</v>
      </c>
      <c r="T172" s="10">
        <f>SUM('Model inputs'!T173,'Model inputs'!T174)</f>
        <v>1446.336716609541</v>
      </c>
      <c r="U172" s="10">
        <f>SUM('Model inputs'!U173,'Model inputs'!U174)</f>
        <v>1574.641665860398</v>
      </c>
      <c r="V172" s="10">
        <f>SUM('Model inputs'!V173,'Model inputs'!V174)</f>
        <v>1701.022040872492</v>
      </c>
      <c r="W172" s="10">
        <f>SUM('Model inputs'!W173,'Model inputs'!W174)</f>
        <v>1825.5067102594044</v>
      </c>
      <c r="X172" s="10">
        <f>SUM('Model inputs'!X173,'Model inputs'!X174)</f>
        <v>1948.1241096055132</v>
      </c>
      <c r="Y172" s="10">
        <f>SUM('Model inputs'!Y173,'Model inputs'!Y174)</f>
        <v>2068.9022479614305</v>
      </c>
      <c r="Z172" s="10">
        <f>SUM('Model inputs'!Z173,'Model inputs'!Z174)</f>
        <v>2187.868714242009</v>
      </c>
      <c r="AA172" s="10">
        <f>SUM('Model inputs'!AA173,'Model inputs'!AA174)</f>
        <v>2305.050683528379</v>
      </c>
      <c r="AB172" s="10">
        <f>SUM('Model inputs'!AB173,'Model inputs'!AB174)</f>
        <v>2420.4749232754534</v>
      </c>
      <c r="AC172" s="10">
        <f>SUM('Model inputs'!AC173,'Model inputs'!AC174)</f>
        <v>2534.1677994263214</v>
      </c>
      <c r="AD172" s="10">
        <f>SUM('Model inputs'!AD173,'Model inputs'!AD174)</f>
        <v>2646.1552824349264</v>
      </c>
      <c r="AE172" s="10">
        <f>SUM('Model inputs'!AE173,'Model inputs'!AE174)</f>
        <v>2756.4629531984024</v>
      </c>
      <c r="AF172" s="10">
        <f>SUM('Model inputs'!AF173,'Model inputs'!AF174)</f>
        <v>2865.1160089004266</v>
      </c>
      <c r="AG172" s="10">
        <f>SUM('Model inputs'!AG173,'Model inputs'!AG174)</f>
        <v>2972.13926876692</v>
      </c>
      <c r="AH172" s="10">
        <f>SUM('Model inputs'!AH173,'Model inputs'!AH174)</f>
        <v>3077.5571797354164</v>
      </c>
      <c r="AI172" s="10">
        <f>SUM('Model inputs'!AI173,'Model inputs'!AI174)</f>
        <v>3181.3938220393848</v>
      </c>
    </row>
    <row r="173" outlineLevel="1">
      <c r="A173" t="inlineStr" s="23">
        <is>
          <t xml:space="preserve">Overage revenue &gt; Growing shop</t>
        </is>
      </c>
      <c r="C173" s="8">
        <f>'Model inputs'!C83</f>
        <v>0</v>
      </c>
      <c r="D173" s="8">
        <f>'Model inputs'!D83</f>
        <v>0</v>
      </c>
      <c r="E173" s="8">
        <f>'Model inputs'!E83</f>
        <v>0</v>
      </c>
      <c r="F173" s="8">
        <f>'Model inputs'!F83</f>
        <v>0</v>
      </c>
      <c r="G173" s="8">
        <f>'Model inputs'!G83</f>
        <v>0</v>
      </c>
      <c r="H173" s="8">
        <f>'Model inputs'!H83</f>
        <v>0</v>
      </c>
      <c r="I173" s="8">
        <f>'Model inputs'!I83</f>
        <v>0</v>
      </c>
      <c r="J173" s="8">
        <f>'Model inputs'!J83</f>
        <v>0</v>
      </c>
      <c r="K173" s="8">
        <f>'SwapDesk — Operations · Merchan'!B36</f>
        <v>0</v>
      </c>
      <c r="L173" s="8">
        <f>'Model inputs'!L200*MAX('Model inputs'!B194*'Model inputs'!B244-'Model inputs'!B209,0)*'Model inputs'!B237</f>
        <v>347</v>
      </c>
      <c r="M173" s="8">
        <f>'Model inputs'!M200*MAX('Model inputs'!B194*'Model inputs'!B244-'Model inputs'!B209,0)*'Model inputs'!B237</f>
        <v>491.795</v>
      </c>
      <c r="N173" s="8">
        <f>'Model inputs'!N200*MAX('Model inputs'!B194*'Model inputs'!B244-'Model inputs'!B209,0)*'Model inputs'!B237</f>
        <v>634.418075</v>
      </c>
      <c r="O173" s="8">
        <f>'Model inputs'!O200*MAX('Model inputs'!B194*'Model inputs'!B244-'Model inputs'!B209,0)*'Model inputs'!B237</f>
        <v>774.901803875</v>
      </c>
      <c r="P173" s="8">
        <f>'Model inputs'!P200*MAX('Model inputs'!B194*'Model inputs'!B244-'Model inputs'!B209,0)*'Model inputs'!B237</f>
        <v>913.2782768168751</v>
      </c>
      <c r="Q173" s="8">
        <f>'Model inputs'!Q200*MAX('Model inputs'!B194*'Model inputs'!B244-'Model inputs'!B209,0)*'Model inputs'!B237</f>
        <v>1049.579102664622</v>
      </c>
      <c r="R173" s="8">
        <f>'Model inputs'!R200*MAX('Model inputs'!B194*'Model inputs'!B244-'Model inputs'!B209,0)*'Model inputs'!B237</f>
        <v>1183.8354161246525</v>
      </c>
      <c r="S173" s="8">
        <f>'Model inputs'!S200*MAX('Model inputs'!B194*'Model inputs'!B244-'Model inputs'!B209,0)*'Model inputs'!B237</f>
        <v>1316.0778848827829</v>
      </c>
      <c r="T173" s="8">
        <f>'Model inputs'!T200*MAX('Model inputs'!B194*'Model inputs'!B244-'Model inputs'!B209,0)*'Model inputs'!B237</f>
        <v>1446.336716609541</v>
      </c>
      <c r="U173" s="8">
        <f>'Model inputs'!U200*MAX('Model inputs'!B194*'Model inputs'!B244-'Model inputs'!B209,0)*'Model inputs'!B237</f>
        <v>1574.641665860398</v>
      </c>
      <c r="V173" s="8">
        <f>'Model inputs'!V200*MAX('Model inputs'!B194*'Model inputs'!B244-'Model inputs'!B209,0)*'Model inputs'!B237</f>
        <v>1701.022040872492</v>
      </c>
      <c r="W173" s="8">
        <f>'Model inputs'!W200*MAX('Model inputs'!B194*'Model inputs'!B244-'Model inputs'!B209,0)*'Model inputs'!B237</f>
        <v>1825.5067102594044</v>
      </c>
      <c r="X173" s="8">
        <f>'Model inputs'!X200*MAX('Model inputs'!B194*'Model inputs'!B244-'Model inputs'!B209,0)*'Model inputs'!B237</f>
        <v>1948.1241096055132</v>
      </c>
      <c r="Y173" s="8">
        <f>'Model inputs'!Y200*MAX('Model inputs'!B194*'Model inputs'!B244-'Model inputs'!B209,0)*'Model inputs'!B237</f>
        <v>2068.9022479614305</v>
      </c>
      <c r="Z173" s="8">
        <f>'Model inputs'!Z200*MAX('Model inputs'!B194*'Model inputs'!B244-'Model inputs'!B209,0)*'Model inputs'!B237</f>
        <v>2187.868714242009</v>
      </c>
      <c r="AA173" s="8">
        <f>'Model inputs'!AA200*MAX('Model inputs'!B194*'Model inputs'!B244-'Model inputs'!B209,0)*'Model inputs'!B237</f>
        <v>2305.050683528379</v>
      </c>
      <c r="AB173" s="8">
        <f>'Model inputs'!AB200*MAX('Model inputs'!B194*'Model inputs'!B244-'Model inputs'!B209,0)*'Model inputs'!B237</f>
        <v>2420.4749232754534</v>
      </c>
      <c r="AC173" s="8">
        <f>'Model inputs'!AC200*MAX('Model inputs'!B194*'Model inputs'!B244-'Model inputs'!B209,0)*'Model inputs'!B237</f>
        <v>2534.1677994263214</v>
      </c>
      <c r="AD173" s="8">
        <f>'Model inputs'!AD200*MAX('Model inputs'!B194*'Model inputs'!B244-'Model inputs'!B209,0)*'Model inputs'!B237</f>
        <v>2646.1552824349264</v>
      </c>
      <c r="AE173" s="8">
        <f>'Model inputs'!AE200*MAX('Model inputs'!B194*'Model inputs'!B244-'Model inputs'!B209,0)*'Model inputs'!B237</f>
        <v>2756.4629531984024</v>
      </c>
      <c r="AF173" s="8">
        <f>'Model inputs'!AF200*MAX('Model inputs'!B194*'Model inputs'!B244-'Model inputs'!B209,0)*'Model inputs'!B237</f>
        <v>2865.1160089004266</v>
      </c>
      <c r="AG173" s="8">
        <f>'Model inputs'!AG200*MAX('Model inputs'!B194*'Model inputs'!B244-'Model inputs'!B209,0)*'Model inputs'!B237</f>
        <v>2972.13926876692</v>
      </c>
      <c r="AH173" s="8">
        <f>'Model inputs'!AH200*MAX('Model inputs'!B194*'Model inputs'!B244-'Model inputs'!B209,0)*'Model inputs'!B237</f>
        <v>3077.5571797354164</v>
      </c>
      <c r="AI173" s="8">
        <f>'Model inputs'!AI200*MAX('Model inputs'!B194*'Model inputs'!B244-'Model inputs'!B209,0)*'Model inputs'!B237</f>
        <v>3181.3938220393848</v>
      </c>
    </row>
    <row r="174" outlineLevel="1">
      <c r="A174" t="inlineStr" s="23">
        <is>
          <t xml:space="preserve">Overage revenue &gt; Small shop</t>
        </is>
      </c>
      <c r="C174" s="8">
        <f>'Model inputs'!C84</f>
        <v>0</v>
      </c>
      <c r="D174" s="8">
        <f>'Model inputs'!D84</f>
        <v>0</v>
      </c>
      <c r="E174" s="8">
        <f>'Model inputs'!E84</f>
        <v>0</v>
      </c>
      <c r="F174" s="8">
        <f>'Model inputs'!F84</f>
        <v>0</v>
      </c>
      <c r="G174" s="8">
        <f>'Model inputs'!G84</f>
        <v>0</v>
      </c>
      <c r="H174" s="8">
        <f>'Model inputs'!H84</f>
        <v>0</v>
      </c>
      <c r="I174" s="8">
        <f>'Model inputs'!I84</f>
        <v>0</v>
      </c>
      <c r="J174" s="8">
        <f>'Model inputs'!J84</f>
        <v>0</v>
      </c>
      <c r="K174" s="8">
        <f>'SwapDesk — Operations · Merchan'!B37</f>
        <v>0</v>
      </c>
      <c r="L174" s="8">
        <f>'Model inputs'!L201*MAX('Model inputs'!B195*'Model inputs'!B245-'Model inputs'!B209,0)*'Model inputs'!B237</f>
        <v>0</v>
      </c>
      <c r="M174" s="8">
        <f>'Model inputs'!M201*MAX('Model inputs'!B195*'Model inputs'!B245-'Model inputs'!B209,0)*'Model inputs'!B237</f>
        <v>0</v>
      </c>
      <c r="N174" s="8">
        <f>'Model inputs'!N201*MAX('Model inputs'!B195*'Model inputs'!B245-'Model inputs'!B209,0)*'Model inputs'!B237</f>
        <v>0</v>
      </c>
      <c r="O174" s="8">
        <f>'Model inputs'!O201*MAX('Model inputs'!B195*'Model inputs'!B245-'Model inputs'!B209,0)*'Model inputs'!B237</f>
        <v>0</v>
      </c>
      <c r="P174" s="8">
        <f>'Model inputs'!P201*MAX('Model inputs'!B195*'Model inputs'!B245-'Model inputs'!B209,0)*'Model inputs'!B237</f>
        <v>0</v>
      </c>
      <c r="Q174" s="8">
        <f>'Model inputs'!Q201*MAX('Model inputs'!B195*'Model inputs'!B245-'Model inputs'!B209,0)*'Model inputs'!B237</f>
        <v>0</v>
      </c>
      <c r="R174" s="8">
        <f>'Model inputs'!R201*MAX('Model inputs'!B195*'Model inputs'!B245-'Model inputs'!B209,0)*'Model inputs'!B237</f>
        <v>0</v>
      </c>
      <c r="S174" s="8">
        <f>'Model inputs'!S201*MAX('Model inputs'!B195*'Model inputs'!B245-'Model inputs'!B209,0)*'Model inputs'!B237</f>
        <v>0</v>
      </c>
      <c r="T174" s="8">
        <f>'Model inputs'!T201*MAX('Model inputs'!B195*'Model inputs'!B245-'Model inputs'!B209,0)*'Model inputs'!B237</f>
        <v>0</v>
      </c>
      <c r="U174" s="8">
        <f>'Model inputs'!U201*MAX('Model inputs'!B195*'Model inputs'!B245-'Model inputs'!B209,0)*'Model inputs'!B237</f>
        <v>0</v>
      </c>
      <c r="V174" s="8">
        <f>'Model inputs'!V201*MAX('Model inputs'!B195*'Model inputs'!B245-'Model inputs'!B209,0)*'Model inputs'!B237</f>
        <v>0</v>
      </c>
      <c r="W174" s="8">
        <f>'Model inputs'!W201*MAX('Model inputs'!B195*'Model inputs'!B245-'Model inputs'!B209,0)*'Model inputs'!B237</f>
        <v>0</v>
      </c>
      <c r="X174" s="8">
        <f>'Model inputs'!X201*MAX('Model inputs'!B195*'Model inputs'!B245-'Model inputs'!B209,0)*'Model inputs'!B237</f>
        <v>0</v>
      </c>
      <c r="Y174" s="8">
        <f>'Model inputs'!Y201*MAX('Model inputs'!B195*'Model inputs'!B245-'Model inputs'!B209,0)*'Model inputs'!B237</f>
        <v>0</v>
      </c>
      <c r="Z174" s="8">
        <f>'Model inputs'!Z201*MAX('Model inputs'!B195*'Model inputs'!B245-'Model inputs'!B209,0)*'Model inputs'!B237</f>
        <v>0</v>
      </c>
      <c r="AA174" s="8">
        <f>'Model inputs'!AA201*MAX('Model inputs'!B195*'Model inputs'!B245-'Model inputs'!B209,0)*'Model inputs'!B237</f>
        <v>0</v>
      </c>
      <c r="AB174" s="8">
        <f>'Model inputs'!AB201*MAX('Model inputs'!B195*'Model inputs'!B245-'Model inputs'!B209,0)*'Model inputs'!B237</f>
        <v>0</v>
      </c>
      <c r="AC174" s="8">
        <f>'Model inputs'!AC201*MAX('Model inputs'!B195*'Model inputs'!B245-'Model inputs'!B209,0)*'Model inputs'!B237</f>
        <v>0</v>
      </c>
      <c r="AD174" s="8">
        <f>'Model inputs'!AD201*MAX('Model inputs'!B195*'Model inputs'!B245-'Model inputs'!B209,0)*'Model inputs'!B237</f>
        <v>0</v>
      </c>
      <c r="AE174" s="8">
        <f>'Model inputs'!AE201*MAX('Model inputs'!B195*'Model inputs'!B245-'Model inputs'!B209,0)*'Model inputs'!B237</f>
        <v>0</v>
      </c>
      <c r="AF174" s="8">
        <f>'Model inputs'!AF201*MAX('Model inputs'!B195*'Model inputs'!B245-'Model inputs'!B209,0)*'Model inputs'!B237</f>
        <v>0</v>
      </c>
      <c r="AG174" s="8">
        <f>'Model inputs'!AG201*MAX('Model inputs'!B195*'Model inputs'!B245-'Model inputs'!B209,0)*'Model inputs'!B237</f>
        <v>0</v>
      </c>
      <c r="AH174" s="8">
        <f>'Model inputs'!AH201*MAX('Model inputs'!B195*'Model inputs'!B245-'Model inputs'!B209,0)*'Model inputs'!B237</f>
        <v>0</v>
      </c>
      <c r="AI174" s="8">
        <f>'Model inputs'!AI201*MAX('Model inputs'!B195*'Model inputs'!B245-'Model inputs'!B209,0)*'Model inputs'!B237</f>
        <v>0</v>
      </c>
    </row>
    <row r="175">
      <c r="A175" t="inlineStr" s="22">
        <is>
          <t xml:space="preserve">Subscription revenue</t>
        </is>
      </c>
      <c r="C175" s="10">
        <f>SUM('Model inputs'!C176,'Model inputs'!C177)</f>
        <v>0</v>
      </c>
      <c r="D175" s="10">
        <f>SUM('Model inputs'!D176,'Model inputs'!D177)</f>
        <v>0</v>
      </c>
      <c r="E175" s="10">
        <f>SUM('Model inputs'!E176,'Model inputs'!E177)</f>
        <v>0</v>
      </c>
      <c r="F175" s="10">
        <f>SUM('Model inputs'!F176,'Model inputs'!F177)</f>
        <v>0</v>
      </c>
      <c r="G175" s="10">
        <f>SUM('Model inputs'!G176,'Model inputs'!G177)</f>
        <v>0</v>
      </c>
      <c r="H175" s="10">
        <f>SUM('Model inputs'!H176,'Model inputs'!H177)</f>
        <v>0</v>
      </c>
      <c r="I175" s="10">
        <f>SUM('Model inputs'!I176,'Model inputs'!I177)</f>
        <v>0</v>
      </c>
      <c r="J175" s="10">
        <f>SUM('Model inputs'!J176,'Model inputs'!J177)</f>
        <v>0</v>
      </c>
      <c r="K175" s="10">
        <f>SUM('Model inputs'!K176,'Model inputs'!K177)</f>
        <v>0</v>
      </c>
      <c r="L175" s="10">
        <f>SUM('Model inputs'!L176,'Model inputs'!L177)</f>
        <v>396.9</v>
      </c>
      <c r="M175" s="10">
        <f>SUM('Model inputs'!M176,'Model inputs'!M177)</f>
        <v>447.76200000000006</v>
      </c>
      <c r="N175" s="10">
        <f>SUM('Model inputs'!N176,'Model inputs'!N177)</f>
        <v>495.75848</v>
      </c>
      <c r="O175" s="10">
        <f>SUM('Model inputs'!O176,'Model inputs'!O177)</f>
        <v>541.0520612</v>
      </c>
      <c r="P175" s="10">
        <f>SUM('Model inputs'!P176,'Model inputs'!P177)</f>
        <v>583.796073028</v>
      </c>
      <c r="Q175" s="10">
        <f>SUM('Model inputs'!Q176,'Model inputs'!Q177)</f>
        <v>624.13508737132</v>
      </c>
      <c r="R175" s="10">
        <f>SUM('Model inputs'!R176,'Model inputs'!R177)</f>
        <v>662.2054219177908</v>
      </c>
      <c r="S175" s="10">
        <f>SUM('Model inputs'!S176,'Model inputs'!S177)</f>
        <v>698.1356144020358</v>
      </c>
      <c r="T175" s="10">
        <f>SUM('Model inputs'!T176,'Model inputs'!T177)</f>
        <v>732.0468694472605</v>
      </c>
      <c r="U175" s="10">
        <f>SUM('Model inputs'!U176,'Model inputs'!U177)</f>
        <v>764.0534795943045</v>
      </c>
      <c r="V175" s="10">
        <f>SUM('Model inputs'!V176,'Model inputs'!V177)</f>
        <v>794.2632220168318</v>
      </c>
      <c r="W175" s="10">
        <f>SUM('Model inputs'!W176,'Model inputs'!W177)</f>
        <v>822.7777323340981</v>
      </c>
      <c r="X175" s="10">
        <f>SUM('Model inputs'!X176,'Model inputs'!X177)</f>
        <v>849.6928568504147</v>
      </c>
      <c r="Y175" s="10">
        <f>SUM('Model inputs'!Y176,'Model inputs'!Y177)</f>
        <v>875.0989844729343</v>
      </c>
      <c r="Z175" s="10">
        <f>SUM('Model inputs'!Z176,'Model inputs'!Z177)</f>
        <v>899.0813594864253</v>
      </c>
      <c r="AA175" s="10">
        <f>SUM('Model inputs'!AA176,'Model inputs'!AA177)</f>
        <v>921.7203762950136</v>
      </c>
      <c r="AB175" s="10">
        <f>SUM('Model inputs'!AB176,'Model inputs'!AB177)</f>
        <v>943.0918571761979</v>
      </c>
      <c r="AC175" s="10">
        <f>SUM('Model inputs'!AC176,'Model inputs'!AC177)</f>
        <v>963.2673140315668</v>
      </c>
      <c r="AD175" s="10">
        <f>SUM('Model inputs'!AD176,'Model inputs'!AD177)</f>
        <v>982.3141950613165</v>
      </c>
      <c r="AE175" s="10">
        <f>SUM('Model inputs'!AE176,'Model inputs'!AE177)</f>
        <v>1000.2961172356992</v>
      </c>
      <c r="AF175" s="10">
        <f>SUM('Model inputs'!AF176,'Model inputs'!AF177)</f>
        <v>1017.2730853857158</v>
      </c>
      <c r="AG175" s="10">
        <f>SUM('Model inputs'!AG176,'Model inputs'!AG177)</f>
        <v>1033.3016986875234</v>
      </c>
      <c r="AH175" s="10">
        <f>SUM('Model inputs'!AH176,'Model inputs'!AH177)</f>
        <v>1048.4353452699752</v>
      </c>
      <c r="AI175" s="10">
        <f>SUM('Model inputs'!AI176,'Model inputs'!AI177)</f>
        <v>1062.7243856322946</v>
      </c>
    </row>
    <row r="176" outlineLevel="1">
      <c r="A176" t="inlineStr" s="23">
        <is>
          <t xml:space="preserve">Subscription revenue &gt; Growing shop</t>
        </is>
      </c>
      <c r="C176" s="8">
        <f>'Model inputs'!C144</f>
        <v>0</v>
      </c>
      <c r="D176" s="8">
        <f>'Model inputs'!D144</f>
        <v>0</v>
      </c>
      <c r="E176" s="8">
        <f>'Model inputs'!E144</f>
        <v>0</v>
      </c>
      <c r="F176" s="8">
        <f>'Model inputs'!F144</f>
        <v>0</v>
      </c>
      <c r="G176" s="8">
        <f>'Model inputs'!G144</f>
        <v>0</v>
      </c>
      <c r="H176" s="8">
        <f>'Model inputs'!H144</f>
        <v>0</v>
      </c>
      <c r="I176" s="8">
        <f>'Model inputs'!I144</f>
        <v>0</v>
      </c>
      <c r="J176" s="8">
        <f>'Model inputs'!J144</f>
        <v>0</v>
      </c>
      <c r="K176" s="8">
        <f>'SwapDesk — Operations · Merchan'!B33</f>
        <v>0</v>
      </c>
      <c r="L176" s="8">
        <f>'Model inputs'!L197*'Model inputs'!B238</f>
        <v>117.6</v>
      </c>
      <c r="M176" s="8">
        <f>'Model inputs'!M197*'Model inputs'!B238</f>
        <v>136.22</v>
      </c>
      <c r="N176" s="8">
        <f>'Model inputs'!N197*'Model inputs'!B238</f>
        <v>153.909</v>
      </c>
      <c r="O176" s="8">
        <f>'Model inputs'!O197*'Model inputs'!B238</f>
        <v>170.71355</v>
      </c>
      <c r="P176" s="8">
        <f>'Model inputs'!P197*'Model inputs'!B238</f>
        <v>186.6778725</v>
      </c>
      <c r="Q176" s="8">
        <f>'Model inputs'!Q197*'Model inputs'!B238</f>
        <v>201.843978875</v>
      </c>
      <c r="R176" s="8">
        <f>'Model inputs'!R197*'Model inputs'!B238</f>
        <v>216.25177993124998</v>
      </c>
      <c r="S176" s="8">
        <f>'Model inputs'!S197*'Model inputs'!B238</f>
        <v>229.93919093468747</v>
      </c>
      <c r="T176" s="8">
        <f>'Model inputs'!T197*'Model inputs'!B238</f>
        <v>242.94223138795311</v>
      </c>
      <c r="U176" s="8">
        <f>'Model inputs'!U197*'Model inputs'!B238</f>
        <v>255.29511981855546</v>
      </c>
      <c r="V176" s="8">
        <f>'Model inputs'!V197*'Model inputs'!B238</f>
        <v>267.0303638276277</v>
      </c>
      <c r="W176" s="8">
        <f>'Model inputs'!W197*'Model inputs'!B238</f>
        <v>278.1788456362463</v>
      </c>
      <c r="X176" s="8">
        <f>'Model inputs'!X197*'Model inputs'!B238</f>
        <v>288.769903354434</v>
      </c>
      <c r="Y176" s="8">
        <f>'Model inputs'!Y197*'Model inputs'!B238</f>
        <v>298.8314081867123</v>
      </c>
      <c r="Z176" s="8">
        <f>'Model inputs'!Z197*'Model inputs'!B238</f>
        <v>308.38983777737667</v>
      </c>
      <c r="AA176" s="8">
        <f>'Model inputs'!AA197*'Model inputs'!B238</f>
        <v>317.47034588850784</v>
      </c>
      <c r="AB176" s="8">
        <f>'Model inputs'!AB197*'Model inputs'!B238</f>
        <v>326.0968285940824</v>
      </c>
      <c r="AC176" s="8">
        <f>'Model inputs'!AC197*'Model inputs'!B238</f>
        <v>334.29198716437827</v>
      </c>
      <c r="AD176" s="8">
        <f>'Model inputs'!AD197*'Model inputs'!B238</f>
        <v>342.0773878061594</v>
      </c>
      <c r="AE176" s="8">
        <f>'Model inputs'!AE197*'Model inputs'!B238</f>
        <v>349.47351841585146</v>
      </c>
      <c r="AF176" s="8">
        <f>'Model inputs'!AF197*'Model inputs'!B238</f>
        <v>356.4998424950589</v>
      </c>
      <c r="AG176" s="8">
        <f>'Model inputs'!AG197*'Model inputs'!B238</f>
        <v>363.17485037030593</v>
      </c>
      <c r="AH176" s="8">
        <f>'Model inputs'!AH197*'Model inputs'!B238</f>
        <v>369.51610785179065</v>
      </c>
      <c r="AI176" s="8">
        <f>'Model inputs'!AI197*'Model inputs'!B238</f>
        <v>375.54030245920114</v>
      </c>
    </row>
    <row r="177" outlineLevel="1">
      <c r="A177" t="inlineStr" s="23">
        <is>
          <t xml:space="preserve">Subscription revenue &gt; Small shop</t>
        </is>
      </c>
      <c r="C177" s="8">
        <f>'Model inputs'!C145</f>
        <v>0</v>
      </c>
      <c r="D177" s="8">
        <f>'Model inputs'!D145</f>
        <v>0</v>
      </c>
      <c r="E177" s="8">
        <f>'Model inputs'!E145</f>
        <v>0</v>
      </c>
      <c r="F177" s="8">
        <f>'Model inputs'!F145</f>
        <v>0</v>
      </c>
      <c r="G177" s="8">
        <f>'Model inputs'!G145</f>
        <v>0</v>
      </c>
      <c r="H177" s="8">
        <f>'Model inputs'!H145</f>
        <v>0</v>
      </c>
      <c r="I177" s="8">
        <f>'Model inputs'!I145</f>
        <v>0</v>
      </c>
      <c r="J177" s="8">
        <f>'Model inputs'!J145</f>
        <v>0</v>
      </c>
      <c r="K177" s="8">
        <f>'SwapDesk — Operations · Merchan'!B34</f>
        <v>0</v>
      </c>
      <c r="L177" s="8">
        <f>'Model inputs'!L198*'Model inputs'!B238</f>
        <v>279.3</v>
      </c>
      <c r="M177" s="8">
        <f>'Model inputs'!M198*'Model inputs'!B238</f>
        <v>311.54200000000003</v>
      </c>
      <c r="N177" s="8">
        <f>'Model inputs'!N198*'Model inputs'!B238</f>
        <v>341.84948</v>
      </c>
      <c r="O177" s="8">
        <f>'Model inputs'!O198*'Model inputs'!B238</f>
        <v>370.3385112</v>
      </c>
      <c r="P177" s="8">
        <f>'Model inputs'!P198*'Model inputs'!B238</f>
        <v>397.118200528</v>
      </c>
      <c r="Q177" s="8">
        <f>'Model inputs'!Q198*'Model inputs'!B238</f>
        <v>422.29110849631996</v>
      </c>
      <c r="R177" s="8">
        <f>'Model inputs'!R198*'Model inputs'!B238</f>
        <v>445.95364198654073</v>
      </c>
      <c r="S177" s="8">
        <f>'Model inputs'!S198*'Model inputs'!B238</f>
        <v>468.1964234673483</v>
      </c>
      <c r="T177" s="8">
        <f>'Model inputs'!T198*'Model inputs'!B238</f>
        <v>489.1046380593074</v>
      </c>
      <c r="U177" s="8">
        <f>'Model inputs'!U198*'Model inputs'!B238</f>
        <v>508.758359775749</v>
      </c>
      <c r="V177" s="8">
        <f>'Model inputs'!V198*'Model inputs'!B238</f>
        <v>527.2328581892041</v>
      </c>
      <c r="W177" s="8">
        <f>'Model inputs'!W198*'Model inputs'!B238</f>
        <v>544.5988866978519</v>
      </c>
      <c r="X177" s="8">
        <f>'Model inputs'!X198*'Model inputs'!B238</f>
        <v>560.9229534959807</v>
      </c>
      <c r="Y177" s="8">
        <f>'Model inputs'!Y198*'Model inputs'!B238</f>
        <v>576.2675762862219</v>
      </c>
      <c r="Z177" s="8">
        <f>'Model inputs'!Z198*'Model inputs'!B238</f>
        <v>590.6915217090486</v>
      </c>
      <c r="AA177" s="8">
        <f>'Model inputs'!AA198*'Model inputs'!B238</f>
        <v>604.2500304065057</v>
      </c>
      <c r="AB177" s="8">
        <f>'Model inputs'!AB198*'Model inputs'!B238</f>
        <v>616.9950285821154</v>
      </c>
      <c r="AC177" s="8">
        <f>'Model inputs'!AC198*'Model inputs'!B238</f>
        <v>628.9753268671885</v>
      </c>
      <c r="AD177" s="8">
        <f>'Model inputs'!AD198*'Model inputs'!B238</f>
        <v>640.2368072551571</v>
      </c>
      <c r="AE177" s="8">
        <f>'Model inputs'!AE198*'Model inputs'!B238</f>
        <v>650.8225988198477</v>
      </c>
      <c r="AF177" s="8">
        <f>'Model inputs'!AF198*'Model inputs'!B238</f>
        <v>660.7732428906569</v>
      </c>
      <c r="AG177" s="8">
        <f>'Model inputs'!AG198*'Model inputs'!B238</f>
        <v>670.1268483172175</v>
      </c>
      <c r="AH177" s="8">
        <f>'Model inputs'!AH198*'Model inputs'!B238</f>
        <v>678.9192374181845</v>
      </c>
      <c r="AI177" s="8">
        <f>'Model inputs'!AI198*'Model inputs'!B238</f>
        <v>687.1840831730934</v>
      </c>
    </row>
    <row r="178">
      <c r="A178" t="inlineStr" s="22">
        <is>
          <t xml:space="preserve">Subscription revenue</t>
        </is>
      </c>
      <c r="C178" s="10">
        <f>SUM('Model inputs'!C179,'Model inputs'!C180)</f>
        <v>0</v>
      </c>
      <c r="D178" s="10">
        <f>SUM('Model inputs'!D179,'Model inputs'!D180)</f>
        <v>0</v>
      </c>
      <c r="E178" s="10">
        <f>SUM('Model inputs'!E179,'Model inputs'!E180)</f>
        <v>0</v>
      </c>
      <c r="F178" s="10">
        <f>SUM('Model inputs'!F179,'Model inputs'!F180)</f>
        <v>0</v>
      </c>
      <c r="G178" s="10">
        <f>SUM('Model inputs'!G179,'Model inputs'!G180)</f>
        <v>0</v>
      </c>
      <c r="H178" s="10">
        <f>SUM('Model inputs'!H179,'Model inputs'!H180)</f>
        <v>0</v>
      </c>
      <c r="I178" s="10">
        <f>SUM('Model inputs'!I179,'Model inputs'!I180)</f>
        <v>0</v>
      </c>
      <c r="J178" s="10">
        <f>SUM('Model inputs'!J179,'Model inputs'!J180)</f>
        <v>0</v>
      </c>
      <c r="K178" s="10">
        <f>SUM('Model inputs'!K179,'Model inputs'!K180)</f>
        <v>0</v>
      </c>
      <c r="L178" s="10">
        <f>SUM('Model inputs'!L179,'Model inputs'!L180)</f>
        <v>557.13</v>
      </c>
      <c r="M178" s="10">
        <f>SUM('Model inputs'!M179,'Model inputs'!M180)</f>
        <v>767.3375500000001</v>
      </c>
      <c r="N178" s="10">
        <f>SUM('Model inputs'!N179,'Model inputs'!N180)</f>
        <v>973.69569675</v>
      </c>
      <c r="O178" s="10">
        <f>SUM('Model inputs'!O179,'Model inputs'!O180)</f>
        <v>1176.2761070987501</v>
      </c>
      <c r="P178" s="10">
        <f>SUM('Model inputs'!P179,'Model inputs'!P180)</f>
        <v>1375.149094376269</v>
      </c>
      <c r="Q178" s="10">
        <f>SUM('Model inputs'!Q179,'Model inputs'!Q180)</f>
        <v>1570.3836442669449</v>
      </c>
      <c r="R178" s="10">
        <f>SUM('Model inputs'!R179,'Model inputs'!R180)</f>
        <v>1762.0474401831343</v>
      </c>
      <c r="S178" s="10">
        <f>SUM('Model inputs'!S179,'Model inputs'!S180)</f>
        <v>1950.206888148977</v>
      </c>
      <c r="T178" s="10">
        <f>SUM('Model inputs'!T179,'Model inputs'!T180)</f>
        <v>2134.92714120396</v>
      </c>
      <c r="U178" s="10">
        <f>SUM('Model inputs'!U179,'Model inputs'!U180)</f>
        <v>2316.2721233355746</v>
      </c>
      <c r="V178" s="10">
        <f>SUM('Model inputs'!V179,'Model inputs'!V180)</f>
        <v>2494.304552950221</v>
      </c>
      <c r="W178" s="10">
        <f>SUM('Model inputs'!W179,'Model inputs'!W180)</f>
        <v>2669.085965891354</v>
      </c>
      <c r="X178" s="10">
        <f>SUM('Model inputs'!X179,'Model inputs'!X180)</f>
        <v>2840.6767380136625</v>
      </c>
      <c r="Y178" s="10">
        <f>SUM('Model inputs'!Y179,'Model inputs'!Y180)</f>
        <v>3009.136107321923</v>
      </c>
      <c r="Z178" s="10">
        <f>SUM('Model inputs'!Z179,'Model inputs'!Z180)</f>
        <v>3174.52219568299</v>
      </c>
      <c r="AA178" s="10">
        <f>SUM('Model inputs'!AA179,'Model inputs'!AA180)</f>
        <v>3336.892030119223</v>
      </c>
      <c r="AB178" s="10">
        <f>SUM('Model inputs'!AB179,'Model inputs'!AB180)</f>
        <v>3496.301563691483</v>
      </c>
      <c r="AC178" s="10">
        <f>SUM('Model inputs'!AC179,'Model inputs'!AC180)</f>
        <v>3652.8056959796777</v>
      </c>
      <c r="AD178" s="10">
        <f>SUM('Model inputs'!AD179,'Model inputs'!AD180)</f>
        <v>3806.458293168679</v>
      </c>
      <c r="AE178" s="10">
        <f>SUM('Model inputs'!AE179,'Model inputs'!AE180)</f>
        <v>3957.312207747271</v>
      </c>
      <c r="AF178" s="10">
        <f>SUM('Model inputs'!AF179,'Model inputs'!AF180)</f>
        <v>4105.4192978276615</v>
      </c>
      <c r="AG178" s="10">
        <f>SUM('Model inputs'!AG179,'Model inputs'!AG180)</f>
        <v>4250.830446092914</v>
      </c>
      <c r="AH178" s="10">
        <f>SUM('Model inputs'!AH179,'Model inputs'!AH180)</f>
        <v>4393.595578379535</v>
      </c>
      <c r="AI178" s="10">
        <f>SUM('Model inputs'!AI179,'Model inputs'!AI180)</f>
        <v>4533.763681902296</v>
      </c>
    </row>
    <row r="179" outlineLevel="1">
      <c r="A179" t="inlineStr" s="23">
        <is>
          <t xml:space="preserve">Subscription revenue &gt; Growing shop</t>
        </is>
      </c>
      <c r="C179" s="8">
        <f>'Model inputs'!C144</f>
        <v>0</v>
      </c>
      <c r="D179" s="8">
        <f>'Model inputs'!D144</f>
        <v>0</v>
      </c>
      <c r="E179" s="8">
        <f>'Model inputs'!E144</f>
        <v>0</v>
      </c>
      <c r="F179" s="8">
        <f>'Model inputs'!F144</f>
        <v>0</v>
      </c>
      <c r="G179" s="8">
        <f>'Model inputs'!G144</f>
        <v>0</v>
      </c>
      <c r="H179" s="8">
        <f>'Model inputs'!H144</f>
        <v>0</v>
      </c>
      <c r="I179" s="8">
        <f>'Model inputs'!I144</f>
        <v>0</v>
      </c>
      <c r="J179" s="8">
        <f>'Model inputs'!J144</f>
        <v>0</v>
      </c>
      <c r="K179" s="8">
        <f>'SwapDesk — Operations · Merchan'!B33</f>
        <v>0</v>
      </c>
      <c r="L179" s="8">
        <f>'Model inputs'!L200*'Model inputs'!B239</f>
        <v>170.03</v>
      </c>
      <c r="M179" s="8">
        <f>'Model inputs'!M200*'Model inputs'!B239</f>
        <v>240.97955000000002</v>
      </c>
      <c r="N179" s="8">
        <f>'Model inputs'!N200*'Model inputs'!B239</f>
        <v>310.86485675</v>
      </c>
      <c r="O179" s="8">
        <f>'Model inputs'!O200*'Model inputs'!B239</f>
        <v>379.70188389875</v>
      </c>
      <c r="P179" s="8">
        <f>'Model inputs'!P200*'Model inputs'!B239</f>
        <v>447.5063556402688</v>
      </c>
      <c r="Q179" s="8">
        <f>'Model inputs'!Q200*'Model inputs'!B239</f>
        <v>514.2937603056648</v>
      </c>
      <c r="R179" s="8">
        <f>'Model inputs'!R200*'Model inputs'!B239</f>
        <v>580.0793539010798</v>
      </c>
      <c r="S179" s="8">
        <f>'Model inputs'!S200*'Model inputs'!B239</f>
        <v>644.8781635925636</v>
      </c>
      <c r="T179" s="8">
        <f>'Model inputs'!T200*'Model inputs'!B239</f>
        <v>708.7049911386752</v>
      </c>
      <c r="U179" s="8">
        <f>'Model inputs'!U200*'Model inputs'!B239</f>
        <v>771.574416271595</v>
      </c>
      <c r="V179" s="8">
        <f>'Model inputs'!V200*'Model inputs'!B239</f>
        <v>833.500800027521</v>
      </c>
      <c r="W179" s="8">
        <f>'Model inputs'!W200*'Model inputs'!B239</f>
        <v>894.4982880271082</v>
      </c>
      <c r="X179" s="8">
        <f>'Model inputs'!X200*'Model inputs'!B239</f>
        <v>954.5808137067015</v>
      </c>
      <c r="Y179" s="8">
        <f>'Model inputs'!Y200*'Model inputs'!B239</f>
        <v>1013.7621015011009</v>
      </c>
      <c r="Z179" s="8">
        <f>'Model inputs'!Z200*'Model inputs'!B239</f>
        <v>1072.0556699785845</v>
      </c>
      <c r="AA179" s="8">
        <f>'Model inputs'!AA200*'Model inputs'!B239</f>
        <v>1129.4748349289057</v>
      </c>
      <c r="AB179" s="8">
        <f>'Model inputs'!AB200*'Model inputs'!B239</f>
        <v>1186.0327124049722</v>
      </c>
      <c r="AC179" s="8">
        <f>'Model inputs'!AC200*'Model inputs'!B239</f>
        <v>1241.7422217188976</v>
      </c>
      <c r="AD179" s="8">
        <f>'Model inputs'!AD200*'Model inputs'!B239</f>
        <v>1296.616088393114</v>
      </c>
      <c r="AE179" s="8">
        <f>'Model inputs'!AE200*'Model inputs'!B239</f>
        <v>1350.6668470672173</v>
      </c>
      <c r="AF179" s="8">
        <f>'Model inputs'!AF200*'Model inputs'!B239</f>
        <v>1403.9068443612089</v>
      </c>
      <c r="AG179" s="8">
        <f>'Model inputs'!AG200*'Model inputs'!B239</f>
        <v>1456.3482416957909</v>
      </c>
      <c r="AH179" s="8">
        <f>'Model inputs'!AH200*'Model inputs'!B239</f>
        <v>1508.003018070354</v>
      </c>
      <c r="AI179" s="8">
        <f>'Model inputs'!AI200*'Model inputs'!B239</f>
        <v>1558.8829727992986</v>
      </c>
    </row>
    <row r="180" outlineLevel="1">
      <c r="A180" t="inlineStr" s="23">
        <is>
          <t xml:space="preserve">Subscription revenue &gt; Small shop</t>
        </is>
      </c>
      <c r="C180" s="8">
        <f>'Model inputs'!C145</f>
        <v>0</v>
      </c>
      <c r="D180" s="8">
        <f>'Model inputs'!D145</f>
        <v>0</v>
      </c>
      <c r="E180" s="8">
        <f>'Model inputs'!E145</f>
        <v>0</v>
      </c>
      <c r="F180" s="8">
        <f>'Model inputs'!F145</f>
        <v>0</v>
      </c>
      <c r="G180" s="8">
        <f>'Model inputs'!G145</f>
        <v>0</v>
      </c>
      <c r="H180" s="8">
        <f>'Model inputs'!H145</f>
        <v>0</v>
      </c>
      <c r="I180" s="8">
        <f>'Model inputs'!I145</f>
        <v>0</v>
      </c>
      <c r="J180" s="8">
        <f>'Model inputs'!J145</f>
        <v>0</v>
      </c>
      <c r="K180" s="8">
        <f>'SwapDesk — Operations · Merchan'!B34</f>
        <v>0</v>
      </c>
      <c r="L180" s="8">
        <f>'Model inputs'!L201*'Model inputs'!B239</f>
        <v>387.1</v>
      </c>
      <c r="M180" s="8">
        <f>'Model inputs'!M201*'Model inputs'!B239</f>
        <v>526.3580000000001</v>
      </c>
      <c r="N180" s="8">
        <f>'Model inputs'!N201*'Model inputs'!B239</f>
        <v>662.83084</v>
      </c>
      <c r="O180" s="8">
        <f>'Model inputs'!O201*'Model inputs'!B239</f>
        <v>796.5742232000001</v>
      </c>
      <c r="P180" s="8">
        <f>'Model inputs'!P201*'Model inputs'!B239</f>
        <v>927.6427387360002</v>
      </c>
      <c r="Q180" s="8">
        <f>'Model inputs'!Q201*'Model inputs'!B239</f>
        <v>1056.08988396128</v>
      </c>
      <c r="R180" s="8">
        <f>'Model inputs'!R201*'Model inputs'!B239</f>
        <v>1181.9680862820546</v>
      </c>
      <c r="S180" s="8">
        <f>'Model inputs'!S201*'Model inputs'!B239</f>
        <v>1305.3287245564134</v>
      </c>
      <c r="T180" s="8">
        <f>'Model inputs'!T201*'Model inputs'!B239</f>
        <v>1426.2221500652852</v>
      </c>
      <c r="U180" s="8">
        <f>'Model inputs'!U201*'Model inputs'!B239</f>
        <v>1544.6977070639796</v>
      </c>
      <c r="V180" s="8">
        <f>'Model inputs'!V201*'Model inputs'!B239</f>
        <v>1660.8037529227001</v>
      </c>
      <c r="W180" s="8">
        <f>'Model inputs'!W201*'Model inputs'!B239</f>
        <v>1774.5876778642462</v>
      </c>
      <c r="X180" s="8">
        <f>'Model inputs'!X201*'Model inputs'!B239</f>
        <v>1886.0959243069613</v>
      </c>
      <c r="Y180" s="8">
        <f>'Model inputs'!Y201*'Model inputs'!B239</f>
        <v>1995.374005820822</v>
      </c>
      <c r="Z180" s="8">
        <f>'Model inputs'!Z201*'Model inputs'!B239</f>
        <v>2102.4665257044053</v>
      </c>
      <c r="AA180" s="8">
        <f>'Model inputs'!AA201*'Model inputs'!B239</f>
        <v>2207.417195190317</v>
      </c>
      <c r="AB180" s="8">
        <f>'Model inputs'!AB201*'Model inputs'!B239</f>
        <v>2310.2688512865107</v>
      </c>
      <c r="AC180" s="8">
        <f>'Model inputs'!AC201*'Model inputs'!B239</f>
        <v>2411.0634742607804</v>
      </c>
      <c r="AD180" s="8">
        <f>'Model inputs'!AD201*'Model inputs'!B239</f>
        <v>2509.842204775565</v>
      </c>
      <c r="AE180" s="8">
        <f>'Model inputs'!AE201*'Model inputs'!B239</f>
        <v>2606.6453606800533</v>
      </c>
      <c r="AF180" s="8">
        <f>'Model inputs'!AF201*'Model inputs'!B239</f>
        <v>2701.5124534664524</v>
      </c>
      <c r="AG180" s="8">
        <f>'Model inputs'!AG201*'Model inputs'!B239</f>
        <v>2794.4822043971235</v>
      </c>
      <c r="AH180" s="8">
        <f>'Model inputs'!AH201*'Model inputs'!B239</f>
        <v>2885.592560309181</v>
      </c>
      <c r="AI180" s="8">
        <f>'Model inputs'!AI201*'Model inputs'!B239</f>
        <v>2974.8807091029976</v>
      </c>
    </row>
    <row r="181">
      <c r="A181" t="inlineStr" s="22">
        <is>
          <t xml:space="preserve">Total executions</t>
        </is>
      </c>
      <c r="C181" s="10">
        <f>SUM('Model inputs'!C182,'Model inputs'!C183)</f>
        <v>0</v>
      </c>
      <c r="D181" s="10">
        <f>SUM('Model inputs'!D182,'Model inputs'!D183)</f>
        <v>0</v>
      </c>
      <c r="E181" s="10">
        <f>SUM('Model inputs'!E182,'Model inputs'!E183)</f>
        <v>0</v>
      </c>
      <c r="F181" s="10">
        <f>SUM('Model inputs'!F182,'Model inputs'!F183)</f>
        <v>0</v>
      </c>
      <c r="G181" s="10">
        <f>SUM('Model inputs'!G182,'Model inputs'!G183)</f>
        <v>0</v>
      </c>
      <c r="H181" s="10">
        <f>SUM('Model inputs'!H182,'Model inputs'!H183)</f>
        <v>0</v>
      </c>
      <c r="I181" s="10">
        <f>SUM('Model inputs'!I182,'Model inputs'!I183)</f>
        <v>0</v>
      </c>
      <c r="J181" s="10">
        <f>SUM('Model inputs'!J182,'Model inputs'!J183)</f>
        <v>0</v>
      </c>
      <c r="K181" s="10">
        <f>IF('Model inputs'!K109="","",'Model inputs'!K109)</f>
        <v>0</v>
      </c>
      <c r="L181" s="10">
        <f>IF('Model inputs'!L109="","",'Model inputs'!L109)</f>
        <v>1938.8999999999999</v>
      </c>
      <c r="M181" s="10">
        <f>IF('Model inputs'!M109="","",'Model inputs'!M109)</f>
        <v>2260.049</v>
      </c>
      <c r="N181" s="10">
        <f>IF('Model inputs'!N109="","",'Model inputs'!N109)</f>
        <v>2573.6372100000003</v>
      </c>
      <c r="O181" s="10">
        <f>IF('Model inputs'!O109="","",'Model inputs'!O109)</f>
        <v>2879.8499801</v>
      </c>
      <c r="P181" s="10">
        <f>IF('Model inputs'!P109="","",'Model inputs'!P109)</f>
        <v>3178.8679293689997</v>
      </c>
      <c r="Q181" s="10">
        <f>IF('Model inputs'!Q109="","",'Model inputs'!Q109)</f>
        <v>3470.8670711864897</v>
      </c>
      <c r="R181" s="10">
        <f>IF('Model inputs'!R109="","",'Model inputs'!R109)</f>
        <v>3756.018935155484</v>
      </c>
      <c r="S181" s="10">
        <f>IF('Model inputs'!S109="","",'Model inputs'!S109)</f>
        <v>4034.490685683316</v>
      </c>
      <c r="T181" s="10">
        <f>IF('Model inputs'!T109="","",'Model inputs'!T109)</f>
        <v>4306.445237323664</v>
      </c>
      <c r="U181" s="10">
        <f>IF('Model inputs'!U109="","",'Model inputs'!U109)</f>
        <v>4572.041366970585</v>
      </c>
      <c r="V181" s="10">
        <f>IF('Model inputs'!V109="","",'Model inputs'!V109)</f>
        <v>4831.433822992765</v>
      </c>
      <c r="W181" s="10">
        <f>IF('Model inputs'!W109="","",'Model inputs'!W109)</f>
        <v>5084.7734313936535</v>
      </c>
      <c r="X181" s="10">
        <f>IF('Model inputs'!X109="","",'Model inputs'!X109)</f>
        <v>5332.207199080702</v>
      </c>
      <c r="Y181" s="10">
        <f>IF('Model inputs'!Y109="","",'Model inputs'!Y109)</f>
        <v>5573.878414324562</v>
      </c>
      <c r="Z181" s="10">
        <f>IF('Model inputs'!Z109="","",'Model inputs'!Z109)</f>
        <v>5809.92674448678</v>
      </c>
      <c r="AA181" s="10">
        <f>IF('Model inputs'!AA109="","",'Model inputs'!AA109)</f>
        <v>6040.488331092292</v>
      </c>
      <c r="AB181" s="10">
        <f>IF('Model inputs'!AB109="","",'Model inputs'!AB109)</f>
        <v>6265.695882320838</v>
      </c>
      <c r="AC181" s="10">
        <f>IF('Model inputs'!AC109="","",'Model inputs'!AC109)</f>
        <v>6485.678762989301</v>
      </c>
      <c r="AD181" s="10">
        <f>IF('Model inputs'!AD109="","",'Model inputs'!AD109)</f>
        <v>6700.563082094948</v>
      </c>
      <c r="AE181" s="10">
        <f>IF('Model inputs'!AE109="","",'Model inputs'!AE109)</f>
        <v>6910.47177798752</v>
      </c>
      <c r="AF181" s="10">
        <f>IF('Model inputs'!AF109="","",'Model inputs'!AF109)</f>
        <v>7115.524701236204</v>
      </c>
      <c r="AG181" s="10">
        <f>IF('Model inputs'!AG109="","",'Model inputs'!AG109)</f>
        <v>7315.838695255663</v>
      </c>
      <c r="AH181" s="10">
        <f>IF('Model inputs'!AH109="","",'Model inputs'!AH109)</f>
        <v>7511.527674753406</v>
      </c>
      <c r="AI181" s="10">
        <f>IF('Model inputs'!AI109="","",'Model inputs'!AI109)</f>
        <v>7702.70270205911</v>
      </c>
    </row>
    <row r="182" outlineLevel="1">
      <c r="A182" t="inlineStr" s="23">
        <is>
          <t xml:space="preserve">Total executions &gt; Growing shop</t>
        </is>
      </c>
      <c r="C182" s="8">
        <f>0</f>
        <v>0</v>
      </c>
      <c r="D182" s="8">
        <f>0</f>
        <v>0</v>
      </c>
      <c r="E182" s="8">
        <f>0</f>
        <v>0</v>
      </c>
      <c r="F182" s="8">
        <f>0</f>
        <v>0</v>
      </c>
      <c r="G182" s="8">
        <f>0</f>
        <v>0</v>
      </c>
      <c r="H182" s="8">
        <f>0</f>
        <v>0</v>
      </c>
      <c r="I182" s="8">
        <f>0</f>
        <v>0</v>
      </c>
      <c r="J182" s="8">
        <f>0</f>
        <v>0</v>
      </c>
      <c r="K182" s="8">
        <f>IF('Model inputs'!K110="","",'Model inputs'!K110)</f>
        <v>0</v>
      </c>
      <c r="L182" s="8">
        <f>IF('Model inputs'!L110="","",'Model inputs'!L110)</f>
        <v>1131.6</v>
      </c>
      <c r="M182" s="8">
        <f>IF('Model inputs'!M110="","",'Model inputs'!M110)</f>
        <v>1338.9679999999998</v>
      </c>
      <c r="N182" s="8">
        <f>IF('Model inputs'!N110="","",'Model inputs'!N110)</f>
        <v>1542.1886400000003</v>
      </c>
      <c r="O182" s="8">
        <f>IF('Model inputs'!O110="","",'Model inputs'!O110)</f>
        <v>1741.3448672000002</v>
      </c>
      <c r="P182" s="8">
        <f>IF('Model inputs'!P110="","",'Model inputs'!P110)</f>
        <v>1936.5179698559998</v>
      </c>
      <c r="Q182" s="8">
        <f>IF('Model inputs'!Q110="","",'Model inputs'!Q110)</f>
        <v>2127.7876104588795</v>
      </c>
      <c r="R182" s="8">
        <f>IF('Model inputs'!R110="","",'Model inputs'!R110)</f>
        <v>2315.2318582497023</v>
      </c>
      <c r="S182" s="8">
        <f>IF('Model inputs'!S110="","",'Model inputs'!S110)</f>
        <v>2498.927221084708</v>
      </c>
      <c r="T182" s="8">
        <f>IF('Model inputs'!T110="","",'Model inputs'!T110)</f>
        <v>2678.948676663014</v>
      </c>
      <c r="U182" s="8">
        <f>IF('Model inputs'!U110="","",'Model inputs'!U110)</f>
        <v>2855.3697031297543</v>
      </c>
      <c r="V182" s="8">
        <f>IF('Model inputs'!V110="","",'Model inputs'!V110)</f>
        <v>3028.262309067159</v>
      </c>
      <c r="W182" s="8">
        <f>IF('Model inputs'!W110="","",'Model inputs'!W110)</f>
        <v>3197.6970628858157</v>
      </c>
      <c r="X182" s="8">
        <f>IF('Model inputs'!X110="","",'Model inputs'!X110)</f>
        <v>3363.7431216280993</v>
      </c>
      <c r="Y182" s="8">
        <f>IF('Model inputs'!Y110="","",'Model inputs'!Y110)</f>
        <v>3526.4682591955375</v>
      </c>
      <c r="Z182" s="8">
        <f>IF('Model inputs'!Z110="","",'Model inputs'!Z110)</f>
        <v>3685.9388940116264</v>
      </c>
      <c r="AA182" s="8">
        <f>IF('Model inputs'!AA110="","",'Model inputs'!AA110)</f>
        <v>3842.2201161313933</v>
      </c>
      <c r="AB182" s="8">
        <f>IF('Model inputs'!AB110="","",'Model inputs'!AB110)</f>
        <v>3995.375713808766</v>
      </c>
      <c r="AC182" s="8">
        <f>IF('Model inputs'!AC110="","",'Model inputs'!AC110)</f>
        <v>4145.468199532591</v>
      </c>
      <c r="AD182" s="8">
        <f>IF('Model inputs'!AD110="","",'Model inputs'!AD110)</f>
        <v>4292.5588355419395</v>
      </c>
      <c r="AE182" s="8">
        <f>IF('Model inputs'!AE110="","",'Model inputs'!AE110)</f>
        <v>4436.707658831101</v>
      </c>
      <c r="AF182" s="8">
        <f>IF('Model inputs'!AF110="","",'Model inputs'!AF110)</f>
        <v>4577.973505654478</v>
      </c>
      <c r="AG182" s="8">
        <f>IF('Model inputs'!AG110="","",'Model inputs'!AG110)</f>
        <v>4716.414035541388</v>
      </c>
      <c r="AH182" s="8">
        <f>IF('Model inputs'!AH110="","",'Model inputs'!AH110)</f>
        <v>4852.08575483056</v>
      </c>
      <c r="AI182" s="8">
        <f>IF('Model inputs'!AI110="","",'Model inputs'!AI110)</f>
        <v>4985.04403973395</v>
      </c>
    </row>
    <row r="183" outlineLevel="1">
      <c r="A183" t="inlineStr" s="23">
        <is>
          <t xml:space="preserve">Total executions &gt; Small shop</t>
        </is>
      </c>
      <c r="C183" s="8">
        <f>0</f>
        <v>0</v>
      </c>
      <c r="D183" s="8">
        <f>0</f>
        <v>0</v>
      </c>
      <c r="E183" s="8">
        <f>0</f>
        <v>0</v>
      </c>
      <c r="F183" s="8">
        <f>0</f>
        <v>0</v>
      </c>
      <c r="G183" s="8">
        <f>0</f>
        <v>0</v>
      </c>
      <c r="H183" s="8">
        <f>0</f>
        <v>0</v>
      </c>
      <c r="I183" s="8">
        <f>0</f>
        <v>0</v>
      </c>
      <c r="J183" s="8">
        <f>0</f>
        <v>0</v>
      </c>
      <c r="K183" s="8">
        <f>IF('Model inputs'!K111="","",'Model inputs'!K111)</f>
        <v>0</v>
      </c>
      <c r="L183" s="8">
        <f>IF('Model inputs'!L111="","",'Model inputs'!L111)</f>
        <v>807.3</v>
      </c>
      <c r="M183" s="8">
        <f>IF('Model inputs'!M111="","",'Model inputs'!M111)</f>
        <v>921.081</v>
      </c>
      <c r="N183" s="8">
        <f>IF('Model inputs'!N111="","",'Model inputs'!N111)</f>
        <v>1031.44857</v>
      </c>
      <c r="O183" s="8">
        <f>IF('Model inputs'!O111="","",'Model inputs'!O111)</f>
        <v>1138.5051128999999</v>
      </c>
      <c r="P183" s="8">
        <f>IF('Model inputs'!P111="","",'Model inputs'!P111)</f>
        <v>1242.349959513</v>
      </c>
      <c r="Q183" s="8">
        <f>IF('Model inputs'!Q111="","",'Model inputs'!Q111)</f>
        <v>1343.07946072761</v>
      </c>
      <c r="R183" s="8">
        <f>IF('Model inputs'!R111="","",'Model inputs'!R111)</f>
        <v>1440.7870769057818</v>
      </c>
      <c r="S183" s="8">
        <f>IF('Model inputs'!S111="","",'Model inputs'!S111)</f>
        <v>1535.563464598608</v>
      </c>
      <c r="T183" s="8">
        <f>IF('Model inputs'!T111="","",'Model inputs'!T111)</f>
        <v>1627.49656066065</v>
      </c>
      <c r="U183" s="8">
        <f>IF('Model inputs'!U111="","",'Model inputs'!U111)</f>
        <v>1716.6716638408307</v>
      </c>
      <c r="V183" s="8">
        <f>IF('Model inputs'!V111="","",'Model inputs'!V111)</f>
        <v>1803.1715139256057</v>
      </c>
      <c r="W183" s="8">
        <f>IF('Model inputs'!W111="","",'Model inputs'!W111)</f>
        <v>1887.0763685078377</v>
      </c>
      <c r="X183" s="8">
        <f>IF('Model inputs'!X111="","",'Model inputs'!X111)</f>
        <v>1968.4640774526024</v>
      </c>
      <c r="Y183" s="8">
        <f>IF('Model inputs'!Y111="","",'Model inputs'!Y111)</f>
        <v>2047.4101551290246</v>
      </c>
      <c r="Z183" s="8">
        <f>IF('Model inputs'!Z111="","",'Model inputs'!Z111)</f>
        <v>2123.987850475154</v>
      </c>
      <c r="AA183" s="8">
        <f>IF('Model inputs'!AA111="","",'Model inputs'!AA111)</f>
        <v>2198.268214960899</v>
      </c>
      <c r="AB183" s="8">
        <f>IF('Model inputs'!AB111="","",'Model inputs'!AB111)</f>
        <v>2270.320168512072</v>
      </c>
      <c r="AC183" s="8">
        <f>IF('Model inputs'!AC111="","",'Model inputs'!AC111)</f>
        <v>2340.21056345671</v>
      </c>
      <c r="AD183" s="8">
        <f>IF('Model inputs'!AD111="","",'Model inputs'!AD111)</f>
        <v>2408.0042465530087</v>
      </c>
      <c r="AE183" s="8">
        <f>IF('Model inputs'!AE111="","",'Model inputs'!AE111)</f>
        <v>2473.764119156419</v>
      </c>
      <c r="AF183" s="8">
        <f>IF('Model inputs'!AF111="","",'Model inputs'!AF111)</f>
        <v>2537.5511955817265</v>
      </c>
      <c r="AG183" s="8">
        <f>IF('Model inputs'!AG111="","",'Model inputs'!AG111)</f>
        <v>2599.4246597142746</v>
      </c>
      <c r="AH183" s="8">
        <f>IF('Model inputs'!AH111="","",'Model inputs'!AH111)</f>
        <v>2659.4419199228464</v>
      </c>
      <c r="AI183" s="8">
        <f>IF('Model inputs'!AI111="","",'Model inputs'!AI111)</f>
        <v>2717.658662325161</v>
      </c>
    </row>
    <row r="184">
      <c r="A184" t="inlineStr" s="22">
        <is>
          <t xml:space="preserve">Acquisition spending</t>
        </is>
      </c>
      <c r="C184" s="6">
        <f>IF('Model inputs'!C149="","",'Model inputs'!C149)</f>
        <v>0</v>
      </c>
      <c r="D184" s="6">
        <f>IF('Model inputs'!D149="","",'Model inputs'!D149)</f>
        <v>0</v>
      </c>
      <c r="E184" s="6">
        <f>IF('Model inputs'!E149="","",'Model inputs'!E149)</f>
        <v>0</v>
      </c>
      <c r="F184" s="6">
        <f>IF('Model inputs'!F149="","",'Model inputs'!F149)</f>
        <v>0</v>
      </c>
      <c r="G184" s="6">
        <f>IF('Model inputs'!G149="","",'Model inputs'!G149)</f>
        <v>0</v>
      </c>
      <c r="H184" s="6">
        <f>IF('Model inputs'!H149="","",'Model inputs'!H149)</f>
        <v>0</v>
      </c>
      <c r="I184" s="6">
        <f>IF('Model inputs'!I149="","",'Model inputs'!I149)</f>
        <v>0</v>
      </c>
      <c r="J184" s="6">
        <f>IF('Model inputs'!J149="","",'Model inputs'!J149)</f>
        <v>0</v>
      </c>
      <c r="K184" s="6">
        <f>IF('Model inputs'!K149="","",'Model inputs'!K149)</f>
        <v>0</v>
      </c>
      <c r="L184" s="6">
        <f>IF('Model inputs'!L149="","",'Model inputs'!L149)</f>
        <v>150</v>
      </c>
      <c r="M184" s="6">
        <f>IF('Model inputs'!M149="","",'Model inputs'!M149)</f>
        <v>150</v>
      </c>
      <c r="N184" s="6">
        <f>IF('Model inputs'!N149="","",'Model inputs'!N149)</f>
        <v>150</v>
      </c>
      <c r="O184" s="6">
        <f>IF('Model inputs'!O149="","",'Model inputs'!O149)</f>
        <v>150</v>
      </c>
      <c r="P184" s="6">
        <f>IF('Model inputs'!P149="","",'Model inputs'!P149)</f>
        <v>150</v>
      </c>
      <c r="Q184" s="6">
        <f>IF('Model inputs'!Q149="","",'Model inputs'!Q149)</f>
        <v>150</v>
      </c>
      <c r="R184" s="6">
        <f>IF('Model inputs'!R149="","",'Model inputs'!R149)</f>
        <v>150</v>
      </c>
      <c r="S184" s="6">
        <f>IF('Model inputs'!S149="","",'Model inputs'!S149)</f>
        <v>150</v>
      </c>
      <c r="T184" s="6">
        <f>IF('Model inputs'!T149="","",'Model inputs'!T149)</f>
        <v>150</v>
      </c>
      <c r="U184" s="6">
        <f>IF('Model inputs'!U149="","",'Model inputs'!U149)</f>
        <v>150</v>
      </c>
      <c r="V184" s="6">
        <f>IF('Model inputs'!V149="","",'Model inputs'!V149)</f>
        <v>150</v>
      </c>
      <c r="W184" s="6">
        <f>IF('Model inputs'!W149="","",'Model inputs'!W149)</f>
        <v>150</v>
      </c>
      <c r="X184" s="6">
        <f>IF('Model inputs'!X149="","",'Model inputs'!X149)</f>
        <v>150</v>
      </c>
      <c r="Y184" s="6">
        <f>IF('Model inputs'!Y149="","",'Model inputs'!Y149)</f>
        <v>150</v>
      </c>
      <c r="Z184" s="6">
        <f>IF('Model inputs'!Z149="","",'Model inputs'!Z149)</f>
        <v>150</v>
      </c>
      <c r="AA184" s="6">
        <f>IF('Model inputs'!AA149="","",'Model inputs'!AA149)</f>
        <v>150</v>
      </c>
      <c r="AB184" s="6">
        <f>IF('Model inputs'!AB149="","",'Model inputs'!AB149)</f>
        <v>150</v>
      </c>
      <c r="AC184" s="6">
        <f>IF('Model inputs'!AC149="","",'Model inputs'!AC149)</f>
        <v>150</v>
      </c>
      <c r="AD184" s="6">
        <f>IF('Model inputs'!AD149="","",'Model inputs'!AD149)</f>
        <v>150</v>
      </c>
      <c r="AE184" s="6">
        <f>IF('Model inputs'!AE149="","",'Model inputs'!AE149)</f>
        <v>150</v>
      </c>
      <c r="AF184" s="6">
        <f>IF('Model inputs'!AF149="","",'Model inputs'!AF149)</f>
        <v>150</v>
      </c>
      <c r="AG184" s="6">
        <f>IF('Model inputs'!AG149="","",'Model inputs'!AG149)</f>
        <v>150</v>
      </c>
      <c r="AH184" s="6">
        <f>IF('Model inputs'!AH149="","",'Model inputs'!AH149)</f>
        <v>150</v>
      </c>
      <c r="AI184" s="6">
        <f>IF('Model inputs'!AI149="","",'Model inputs'!AI149)</f>
        <v>150</v>
      </c>
    </row>
    <row r="185" outlineLevel="1">
      <c r="A185" t="inlineStr" s="23">
        <is>
          <t xml:space="preserve">Acquisition spending &gt; Growing shop</t>
        </is>
      </c>
      <c r="C185" s="9">
        <f>'Model inputs'!C80</f>
        <v>0</v>
      </c>
      <c r="D185" s="9">
        <f>'Model inputs'!D80</f>
        <v>0</v>
      </c>
      <c r="E185" s="9">
        <f>'Model inputs'!E80</f>
        <v>0</v>
      </c>
      <c r="F185" s="9">
        <f>'Model inputs'!F80</f>
        <v>0</v>
      </c>
      <c r="G185" s="9">
        <f>'Model inputs'!G80</f>
        <v>0</v>
      </c>
      <c r="H185" s="9">
        <f>'Model inputs'!H80</f>
        <v>0</v>
      </c>
      <c r="I185" s="9">
        <f>'Model inputs'!I80</f>
        <v>0</v>
      </c>
      <c r="J185" s="9">
        <f>'Model inputs'!J80</f>
        <v>0</v>
      </c>
      <c r="K185" s="9">
        <f>'SwapDesk — Operations · Merchan'!B54</f>
        <v>0</v>
      </c>
      <c r="L185" s="9">
        <f>'Model inputs'!L269*'Model inputs'!B254</f>
        <v>50</v>
      </c>
      <c r="M185" s="9">
        <f>'Model inputs'!M269*'Model inputs'!B254</f>
        <v>50</v>
      </c>
      <c r="N185" s="9">
        <f>'Model inputs'!N269*'Model inputs'!B254</f>
        <v>50</v>
      </c>
      <c r="O185" s="9">
        <f>'Model inputs'!O269*'Model inputs'!B254</f>
        <v>50</v>
      </c>
      <c r="P185" s="9">
        <f>'Model inputs'!P269*'Model inputs'!B254</f>
        <v>50</v>
      </c>
      <c r="Q185" s="9">
        <f>'Model inputs'!Q269*'Model inputs'!B254</f>
        <v>50</v>
      </c>
      <c r="R185" s="9">
        <f>'Model inputs'!R269*'Model inputs'!B254</f>
        <v>50</v>
      </c>
      <c r="S185" s="9">
        <f>'Model inputs'!S269*'Model inputs'!B254</f>
        <v>50</v>
      </c>
      <c r="T185" s="9">
        <f>'Model inputs'!T269*'Model inputs'!B254</f>
        <v>50</v>
      </c>
      <c r="U185" s="9">
        <f>'Model inputs'!U269*'Model inputs'!B254</f>
        <v>50</v>
      </c>
      <c r="V185" s="9">
        <f>'Model inputs'!V269*'Model inputs'!B254</f>
        <v>50</v>
      </c>
      <c r="W185" s="9">
        <f>'Model inputs'!W269*'Model inputs'!B254</f>
        <v>50</v>
      </c>
      <c r="X185" s="9">
        <f>'Model inputs'!X269*'Model inputs'!B254</f>
        <v>50</v>
      </c>
      <c r="Y185" s="9">
        <f>'Model inputs'!Y269*'Model inputs'!B254</f>
        <v>50</v>
      </c>
      <c r="Z185" s="9">
        <f>'Model inputs'!Z269*'Model inputs'!B254</f>
        <v>50</v>
      </c>
      <c r="AA185" s="9">
        <f>'Model inputs'!AA269*'Model inputs'!B254</f>
        <v>50</v>
      </c>
      <c r="AB185" s="9">
        <f>'Model inputs'!AB269*'Model inputs'!B254</f>
        <v>50</v>
      </c>
      <c r="AC185" s="9">
        <f>'Model inputs'!AC269*'Model inputs'!B254</f>
        <v>50</v>
      </c>
      <c r="AD185" s="9">
        <f>'Model inputs'!AD269*'Model inputs'!B254</f>
        <v>50</v>
      </c>
      <c r="AE185" s="9">
        <f>'Model inputs'!AE269*'Model inputs'!B254</f>
        <v>50</v>
      </c>
      <c r="AF185" s="9">
        <f>'Model inputs'!AF269*'Model inputs'!B254</f>
        <v>50</v>
      </c>
      <c r="AG185" s="9">
        <f>'Model inputs'!AG269*'Model inputs'!B254</f>
        <v>50</v>
      </c>
      <c r="AH185" s="9">
        <f>'Model inputs'!AH269*'Model inputs'!B254</f>
        <v>50</v>
      </c>
      <c r="AI185" s="9">
        <f>'Model inputs'!AI269*'Model inputs'!B254</f>
        <v>50</v>
      </c>
    </row>
    <row r="186" outlineLevel="1">
      <c r="A186" t="inlineStr" s="23">
        <is>
          <t xml:space="preserve">Acquisition spending &gt; Small shop</t>
        </is>
      </c>
      <c r="C186" s="9">
        <f>'Model inputs'!C81</f>
        <v>0</v>
      </c>
      <c r="D186" s="9">
        <f>'Model inputs'!D81</f>
        <v>0</v>
      </c>
      <c r="E186" s="9">
        <f>'Model inputs'!E81</f>
        <v>0</v>
      </c>
      <c r="F186" s="9">
        <f>'Model inputs'!F81</f>
        <v>0</v>
      </c>
      <c r="G186" s="9">
        <f>'Model inputs'!G81</f>
        <v>0</v>
      </c>
      <c r="H186" s="9">
        <f>'Model inputs'!H81</f>
        <v>0</v>
      </c>
      <c r="I186" s="9">
        <f>'Model inputs'!I81</f>
        <v>0</v>
      </c>
      <c r="J186" s="9">
        <f>'Model inputs'!J81</f>
        <v>0</v>
      </c>
      <c r="K186" s="9">
        <f>'SwapDesk — Operations · Merchan'!B55</f>
        <v>0</v>
      </c>
      <c r="L186" s="9">
        <f>'Model inputs'!L270*'Model inputs'!B254</f>
        <v>100</v>
      </c>
      <c r="M186" s="9">
        <f>'Model inputs'!M270*'Model inputs'!B254</f>
        <v>100</v>
      </c>
      <c r="N186" s="9">
        <f>'Model inputs'!N270*'Model inputs'!B254</f>
        <v>100</v>
      </c>
      <c r="O186" s="9">
        <f>'Model inputs'!O270*'Model inputs'!B254</f>
        <v>100</v>
      </c>
      <c r="P186" s="9">
        <f>'Model inputs'!P270*'Model inputs'!B254</f>
        <v>100</v>
      </c>
      <c r="Q186" s="9">
        <f>'Model inputs'!Q270*'Model inputs'!B254</f>
        <v>100</v>
      </c>
      <c r="R186" s="9">
        <f>'Model inputs'!R270*'Model inputs'!B254</f>
        <v>100</v>
      </c>
      <c r="S186" s="9">
        <f>'Model inputs'!S270*'Model inputs'!B254</f>
        <v>100</v>
      </c>
      <c r="T186" s="9">
        <f>'Model inputs'!T270*'Model inputs'!B254</f>
        <v>100</v>
      </c>
      <c r="U186" s="9">
        <f>'Model inputs'!U270*'Model inputs'!B254</f>
        <v>100</v>
      </c>
      <c r="V186" s="9">
        <f>'Model inputs'!V270*'Model inputs'!B254</f>
        <v>100</v>
      </c>
      <c r="W186" s="9">
        <f>'Model inputs'!W270*'Model inputs'!B254</f>
        <v>100</v>
      </c>
      <c r="X186" s="9">
        <f>'Model inputs'!X270*'Model inputs'!B254</f>
        <v>100</v>
      </c>
      <c r="Y186" s="9">
        <f>'Model inputs'!Y270*'Model inputs'!B254</f>
        <v>100</v>
      </c>
      <c r="Z186" s="9">
        <f>'Model inputs'!Z270*'Model inputs'!B254</f>
        <v>100</v>
      </c>
      <c r="AA186" s="9">
        <f>'Model inputs'!AA270*'Model inputs'!B254</f>
        <v>100</v>
      </c>
      <c r="AB186" s="9">
        <f>'Model inputs'!AB270*'Model inputs'!B254</f>
        <v>100</v>
      </c>
      <c r="AC186" s="9">
        <f>'Model inputs'!AC270*'Model inputs'!B254</f>
        <v>100</v>
      </c>
      <c r="AD186" s="9">
        <f>'Model inputs'!AD270*'Model inputs'!B254</f>
        <v>100</v>
      </c>
      <c r="AE186" s="9">
        <f>'Model inputs'!AE270*'Model inputs'!B254</f>
        <v>100</v>
      </c>
      <c r="AF186" s="9">
        <f>'Model inputs'!AF270*'Model inputs'!B254</f>
        <v>100</v>
      </c>
      <c r="AG186" s="9">
        <f>'Model inputs'!AG270*'Model inputs'!B254</f>
        <v>100</v>
      </c>
      <c r="AH186" s="9">
        <f>'Model inputs'!AH270*'Model inputs'!B254</f>
        <v>100</v>
      </c>
      <c r="AI186" s="9">
        <f>'Model inputs'!AI270*'Model inputs'!B254</f>
        <v>100</v>
      </c>
    </row>
    <row r="187">
      <c r="A187" t="inlineStr" s="22">
        <is>
          <t xml:space="preserve">Acquisition spending</t>
        </is>
      </c>
      <c r="C187" s="6">
        <f>IF('Model inputs'!C150="","",'Model inputs'!C150)</f>
        <v>0</v>
      </c>
      <c r="D187" s="6">
        <f>IF('Model inputs'!D150="","",'Model inputs'!D150)</f>
        <v>0</v>
      </c>
      <c r="E187" s="6">
        <f>IF('Model inputs'!E150="","",'Model inputs'!E150)</f>
        <v>0</v>
      </c>
      <c r="F187" s="6">
        <f>IF('Model inputs'!F150="","",'Model inputs'!F150)</f>
        <v>0</v>
      </c>
      <c r="G187" s="6">
        <f>IF('Model inputs'!G150="","",'Model inputs'!G150)</f>
        <v>0</v>
      </c>
      <c r="H187" s="6">
        <f>IF('Model inputs'!H150="","",'Model inputs'!H150)</f>
        <v>0</v>
      </c>
      <c r="I187" s="6">
        <f>IF('Model inputs'!I150="","",'Model inputs'!I150)</f>
        <v>0</v>
      </c>
      <c r="J187" s="6">
        <f>IF('Model inputs'!J150="","",'Model inputs'!J150)</f>
        <v>0</v>
      </c>
      <c r="K187" s="6">
        <f>IF('Model inputs'!K150="","",'Model inputs'!K150)</f>
        <v>0</v>
      </c>
      <c r="L187" s="6">
        <f>IF('Model inputs'!L150="","",'Model inputs'!L150)</f>
        <v>450</v>
      </c>
      <c r="M187" s="6">
        <f>IF('Model inputs'!M150="","",'Model inputs'!M150)</f>
        <v>450</v>
      </c>
      <c r="N187" s="6">
        <f>IF('Model inputs'!N150="","",'Model inputs'!N150)</f>
        <v>450</v>
      </c>
      <c r="O187" s="6">
        <f>IF('Model inputs'!O150="","",'Model inputs'!O150)</f>
        <v>450</v>
      </c>
      <c r="P187" s="6">
        <f>IF('Model inputs'!P150="","",'Model inputs'!P150)</f>
        <v>450</v>
      </c>
      <c r="Q187" s="6">
        <f>IF('Model inputs'!Q150="","",'Model inputs'!Q150)</f>
        <v>450</v>
      </c>
      <c r="R187" s="6">
        <f>IF('Model inputs'!R150="","",'Model inputs'!R150)</f>
        <v>450</v>
      </c>
      <c r="S187" s="6">
        <f>IF('Model inputs'!S150="","",'Model inputs'!S150)</f>
        <v>450</v>
      </c>
      <c r="T187" s="6">
        <f>IF('Model inputs'!T150="","",'Model inputs'!T150)</f>
        <v>450</v>
      </c>
      <c r="U187" s="6">
        <f>IF('Model inputs'!U150="","",'Model inputs'!U150)</f>
        <v>450</v>
      </c>
      <c r="V187" s="6">
        <f>IF('Model inputs'!V150="","",'Model inputs'!V150)</f>
        <v>450</v>
      </c>
      <c r="W187" s="6">
        <f>IF('Model inputs'!W150="","",'Model inputs'!W150)</f>
        <v>450</v>
      </c>
      <c r="X187" s="6">
        <f>IF('Model inputs'!X150="","",'Model inputs'!X150)</f>
        <v>450</v>
      </c>
      <c r="Y187" s="6">
        <f>IF('Model inputs'!Y150="","",'Model inputs'!Y150)</f>
        <v>450</v>
      </c>
      <c r="Z187" s="6">
        <f>IF('Model inputs'!Z150="","",'Model inputs'!Z150)</f>
        <v>450</v>
      </c>
      <c r="AA187" s="6">
        <f>IF('Model inputs'!AA150="","",'Model inputs'!AA150)</f>
        <v>450</v>
      </c>
      <c r="AB187" s="6">
        <f>IF('Model inputs'!AB150="","",'Model inputs'!AB150)</f>
        <v>450</v>
      </c>
      <c r="AC187" s="6">
        <f>IF('Model inputs'!AC150="","",'Model inputs'!AC150)</f>
        <v>450</v>
      </c>
      <c r="AD187" s="6">
        <f>IF('Model inputs'!AD150="","",'Model inputs'!AD150)</f>
        <v>450</v>
      </c>
      <c r="AE187" s="6">
        <f>IF('Model inputs'!AE150="","",'Model inputs'!AE150)</f>
        <v>450</v>
      </c>
      <c r="AF187" s="6">
        <f>IF('Model inputs'!AF150="","",'Model inputs'!AF150)</f>
        <v>450</v>
      </c>
      <c r="AG187" s="6">
        <f>IF('Model inputs'!AG150="","",'Model inputs'!AG150)</f>
        <v>450</v>
      </c>
      <c r="AH187" s="6">
        <f>IF('Model inputs'!AH150="","",'Model inputs'!AH150)</f>
        <v>450</v>
      </c>
      <c r="AI187" s="6">
        <f>IF('Model inputs'!AI150="","",'Model inputs'!AI150)</f>
        <v>450</v>
      </c>
    </row>
    <row r="188" outlineLevel="1">
      <c r="A188" t="inlineStr" s="23">
        <is>
          <t xml:space="preserve">Acquisition spending &gt; Growing shop</t>
        </is>
      </c>
      <c r="C188" s="9">
        <f>'Model inputs'!C80</f>
        <v>0</v>
      </c>
      <c r="D188" s="9">
        <f>'Model inputs'!D80</f>
        <v>0</v>
      </c>
      <c r="E188" s="9">
        <f>'Model inputs'!E80</f>
        <v>0</v>
      </c>
      <c r="F188" s="9">
        <f>'Model inputs'!F80</f>
        <v>0</v>
      </c>
      <c r="G188" s="9">
        <f>'Model inputs'!G80</f>
        <v>0</v>
      </c>
      <c r="H188" s="9">
        <f>'Model inputs'!H80</f>
        <v>0</v>
      </c>
      <c r="I188" s="9">
        <f>'Model inputs'!I80</f>
        <v>0</v>
      </c>
      <c r="J188" s="9">
        <f>'Model inputs'!J80</f>
        <v>0</v>
      </c>
      <c r="K188" s="9">
        <f>'SwapDesk — Operations · Merchan'!B54</f>
        <v>0</v>
      </c>
      <c r="L188" s="9">
        <f>'Model inputs'!L272*'Model inputs'!B255</f>
        <v>150</v>
      </c>
      <c r="M188" s="9">
        <f>'Model inputs'!M272*'Model inputs'!B255</f>
        <v>150</v>
      </c>
      <c r="N188" s="9">
        <f>'Model inputs'!N272*'Model inputs'!B255</f>
        <v>150</v>
      </c>
      <c r="O188" s="9">
        <f>'Model inputs'!O272*'Model inputs'!B255</f>
        <v>150</v>
      </c>
      <c r="P188" s="9">
        <f>'Model inputs'!P272*'Model inputs'!B255</f>
        <v>150</v>
      </c>
      <c r="Q188" s="9">
        <f>'Model inputs'!Q272*'Model inputs'!B255</f>
        <v>150</v>
      </c>
      <c r="R188" s="9">
        <f>'Model inputs'!R272*'Model inputs'!B255</f>
        <v>150</v>
      </c>
      <c r="S188" s="9">
        <f>'Model inputs'!S272*'Model inputs'!B255</f>
        <v>150</v>
      </c>
      <c r="T188" s="9">
        <f>'Model inputs'!T272*'Model inputs'!B255</f>
        <v>150</v>
      </c>
      <c r="U188" s="9">
        <f>'Model inputs'!U272*'Model inputs'!B255</f>
        <v>150</v>
      </c>
      <c r="V188" s="9">
        <f>'Model inputs'!V272*'Model inputs'!B255</f>
        <v>150</v>
      </c>
      <c r="W188" s="9">
        <f>'Model inputs'!W272*'Model inputs'!B255</f>
        <v>150</v>
      </c>
      <c r="X188" s="9">
        <f>'Model inputs'!X272*'Model inputs'!B255</f>
        <v>150</v>
      </c>
      <c r="Y188" s="9">
        <f>'Model inputs'!Y272*'Model inputs'!B255</f>
        <v>150</v>
      </c>
      <c r="Z188" s="9">
        <f>'Model inputs'!Z272*'Model inputs'!B255</f>
        <v>150</v>
      </c>
      <c r="AA188" s="9">
        <f>'Model inputs'!AA272*'Model inputs'!B255</f>
        <v>150</v>
      </c>
      <c r="AB188" s="9">
        <f>'Model inputs'!AB272*'Model inputs'!B255</f>
        <v>150</v>
      </c>
      <c r="AC188" s="9">
        <f>'Model inputs'!AC272*'Model inputs'!B255</f>
        <v>150</v>
      </c>
      <c r="AD188" s="9">
        <f>'Model inputs'!AD272*'Model inputs'!B255</f>
        <v>150</v>
      </c>
      <c r="AE188" s="9">
        <f>'Model inputs'!AE272*'Model inputs'!B255</f>
        <v>150</v>
      </c>
      <c r="AF188" s="9">
        <f>'Model inputs'!AF272*'Model inputs'!B255</f>
        <v>150</v>
      </c>
      <c r="AG188" s="9">
        <f>'Model inputs'!AG272*'Model inputs'!B255</f>
        <v>150</v>
      </c>
      <c r="AH188" s="9">
        <f>'Model inputs'!AH272*'Model inputs'!B255</f>
        <v>150</v>
      </c>
      <c r="AI188" s="9">
        <f>'Model inputs'!AI272*'Model inputs'!B255</f>
        <v>150</v>
      </c>
    </row>
    <row r="189" outlineLevel="1">
      <c r="A189" t="inlineStr" s="23">
        <is>
          <t xml:space="preserve">Acquisition spending &gt; Small shop</t>
        </is>
      </c>
      <c r="C189" s="9">
        <f>'Model inputs'!C81</f>
        <v>0</v>
      </c>
      <c r="D189" s="9">
        <f>'Model inputs'!D81</f>
        <v>0</v>
      </c>
      <c r="E189" s="9">
        <f>'Model inputs'!E81</f>
        <v>0</v>
      </c>
      <c r="F189" s="9">
        <f>'Model inputs'!F81</f>
        <v>0</v>
      </c>
      <c r="G189" s="9">
        <f>'Model inputs'!G81</f>
        <v>0</v>
      </c>
      <c r="H189" s="9">
        <f>'Model inputs'!H81</f>
        <v>0</v>
      </c>
      <c r="I189" s="9">
        <f>'Model inputs'!I81</f>
        <v>0</v>
      </c>
      <c r="J189" s="9">
        <f>'Model inputs'!J81</f>
        <v>0</v>
      </c>
      <c r="K189" s="9">
        <f>'SwapDesk — Operations · Merchan'!B55</f>
        <v>0</v>
      </c>
      <c r="L189" s="9">
        <f>'Model inputs'!L273*'Model inputs'!B255</f>
        <v>300</v>
      </c>
      <c r="M189" s="9">
        <f>'Model inputs'!M273*'Model inputs'!B255</f>
        <v>300</v>
      </c>
      <c r="N189" s="9">
        <f>'Model inputs'!N273*'Model inputs'!B255</f>
        <v>300</v>
      </c>
      <c r="O189" s="9">
        <f>'Model inputs'!O273*'Model inputs'!B255</f>
        <v>300</v>
      </c>
      <c r="P189" s="9">
        <f>'Model inputs'!P273*'Model inputs'!B255</f>
        <v>300</v>
      </c>
      <c r="Q189" s="9">
        <f>'Model inputs'!Q273*'Model inputs'!B255</f>
        <v>300</v>
      </c>
      <c r="R189" s="9">
        <f>'Model inputs'!R273*'Model inputs'!B255</f>
        <v>300</v>
      </c>
      <c r="S189" s="9">
        <f>'Model inputs'!S273*'Model inputs'!B255</f>
        <v>300</v>
      </c>
      <c r="T189" s="9">
        <f>'Model inputs'!T273*'Model inputs'!B255</f>
        <v>300</v>
      </c>
      <c r="U189" s="9">
        <f>'Model inputs'!U273*'Model inputs'!B255</f>
        <v>300</v>
      </c>
      <c r="V189" s="9">
        <f>'Model inputs'!V273*'Model inputs'!B255</f>
        <v>300</v>
      </c>
      <c r="W189" s="9">
        <f>'Model inputs'!W273*'Model inputs'!B255</f>
        <v>300</v>
      </c>
      <c r="X189" s="9">
        <f>'Model inputs'!X273*'Model inputs'!B255</f>
        <v>300</v>
      </c>
      <c r="Y189" s="9">
        <f>'Model inputs'!Y273*'Model inputs'!B255</f>
        <v>300</v>
      </c>
      <c r="Z189" s="9">
        <f>'Model inputs'!Z273*'Model inputs'!B255</f>
        <v>300</v>
      </c>
      <c r="AA189" s="9">
        <f>'Model inputs'!AA273*'Model inputs'!B255</f>
        <v>300</v>
      </c>
      <c r="AB189" s="9">
        <f>'Model inputs'!AB273*'Model inputs'!B255</f>
        <v>300</v>
      </c>
      <c r="AC189" s="9">
        <f>'Model inputs'!AC273*'Model inputs'!B255</f>
        <v>300</v>
      </c>
      <c r="AD189" s="9">
        <f>'Model inputs'!AD273*'Model inputs'!B255</f>
        <v>300</v>
      </c>
      <c r="AE189" s="9">
        <f>'Model inputs'!AE273*'Model inputs'!B255</f>
        <v>300</v>
      </c>
      <c r="AF189" s="9">
        <f>'Model inputs'!AF273*'Model inputs'!B255</f>
        <v>300</v>
      </c>
      <c r="AG189" s="9">
        <f>'Model inputs'!AG273*'Model inputs'!B255</f>
        <v>300</v>
      </c>
      <c r="AH189" s="9">
        <f>'Model inputs'!AH273*'Model inputs'!B255</f>
        <v>300</v>
      </c>
      <c r="AI189" s="9">
        <f>'Model inputs'!AI273*'Model inputs'!B255</f>
        <v>300</v>
      </c>
    </row>
    <row r="190">
      <c r="A190" t="inlineStr" s="22">
        <is>
          <t xml:space="preserve">Cases per store</t>
        </is>
      </c>
      <c r="B190" s="10">
        <v>0</v>
      </c>
    </row>
    <row r="191" outlineLevel="1">
      <c r="A191" t="inlineStr" s="23">
        <is>
          <t xml:space="preserve">Cases per store &gt; Growing shop</t>
        </is>
      </c>
      <c r="B191" s="8">
        <f>'SwapDesk — Assumptions · Mercha'!D5</f>
        <v>400</v>
      </c>
    </row>
    <row r="192" outlineLevel="1">
      <c r="A192" t="inlineStr" s="23">
        <is>
          <t xml:space="preserve">Cases per store &gt; Small shop</t>
        </is>
      </c>
      <c r="B192" s="8">
        <f>'SwapDesk — Assumptions · Mercha'!D6</f>
        <v>120</v>
      </c>
    </row>
    <row r="193">
      <c r="A193" t="inlineStr" s="22">
        <is>
          <t xml:space="preserve">Cases per store</t>
        </is>
      </c>
      <c r="B193" s="10">
        <v>0</v>
      </c>
    </row>
    <row r="194" outlineLevel="1">
      <c r="A194" t="inlineStr" s="23">
        <is>
          <t xml:space="preserve">Cases per store &gt; Growing shop</t>
        </is>
      </c>
      <c r="B194" s="8">
        <f>'SwapDesk — Assumptions · Mercha'!D5</f>
        <v>400</v>
      </c>
    </row>
    <row r="195" outlineLevel="1">
      <c r="A195" t="inlineStr" s="23">
        <is>
          <t xml:space="preserve">Cases per store &gt; Small shop</t>
        </is>
      </c>
      <c r="B195" s="8">
        <f>'SwapDesk — Assumptions · Mercha'!D6</f>
        <v>120</v>
      </c>
    </row>
    <row r="196">
      <c r="A196" t="inlineStr" s="22">
        <is>
          <t xml:space="preserve">Ending stores</t>
        </is>
      </c>
      <c r="C196" s="10">
        <f>SUM('Model inputs'!C197,'Model inputs'!C198)</f>
        <v>0</v>
      </c>
      <c r="D196" s="10">
        <f>SUM('Model inputs'!D197,'Model inputs'!D198)</f>
        <v>0</v>
      </c>
      <c r="E196" s="10">
        <f>SUM('Model inputs'!E197,'Model inputs'!E198)</f>
        <v>0</v>
      </c>
      <c r="F196" s="10">
        <f>SUM('Model inputs'!F197,'Model inputs'!F198)</f>
        <v>0</v>
      </c>
      <c r="G196" s="10">
        <f>SUM('Model inputs'!G197,'Model inputs'!G198)</f>
        <v>0</v>
      </c>
      <c r="H196" s="10">
        <f>SUM('Model inputs'!H197,'Model inputs'!H198)</f>
        <v>0</v>
      </c>
      <c r="I196" s="10">
        <f>SUM('Model inputs'!I197,'Model inputs'!I198)</f>
        <v>0</v>
      </c>
      <c r="J196" s="10">
        <f>SUM('Model inputs'!J197,'Model inputs'!J198)</f>
        <v>0</v>
      </c>
      <c r="K196" s="10">
        <f>SUM('Model inputs'!K197,'Model inputs'!K198)</f>
        <v>7</v>
      </c>
      <c r="L196" s="10">
        <f>SUM('Model inputs'!L197,'Model inputs'!L198)</f>
        <v>8.1</v>
      </c>
      <c r="M196" s="10">
        <f>SUM('Model inputs'!M197,'Model inputs'!M198)</f>
        <v>9.138</v>
      </c>
      <c r="N196" s="10">
        <f>SUM('Model inputs'!N197,'Model inputs'!N198)</f>
        <v>10.11752</v>
      </c>
      <c r="O196" s="10">
        <f>SUM('Model inputs'!O197,'Model inputs'!O198)</f>
        <v>11.041878800000001</v>
      </c>
      <c r="P196" s="10">
        <f>SUM('Model inputs'!P197,'Model inputs'!P198)</f>
        <v>11.914205572</v>
      </c>
      <c r="Q196" s="10">
        <f>SUM('Model inputs'!Q197,'Model inputs'!Q198)</f>
        <v>12.737450762679998</v>
      </c>
      <c r="R196" s="10">
        <f>SUM('Model inputs'!R197,'Model inputs'!R198)</f>
        <v>13.5143963656692</v>
      </c>
      <c r="S196" s="10">
        <f>SUM('Model inputs'!S197,'Model inputs'!S198)</f>
        <v>14.247665600041547</v>
      </c>
      <c r="T196" s="10">
        <f>SUM('Model inputs'!T197,'Model inputs'!T198)</f>
        <v>14.939732029535929</v>
      </c>
      <c r="U196" s="10">
        <f>SUM('Model inputs'!U197,'Model inputs'!U198)</f>
        <v>15.592928154985806</v>
      </c>
      <c r="V196" s="10">
        <f>SUM('Model inputs'!V197,'Model inputs'!V198)</f>
        <v>16.209453510547586</v>
      </c>
      <c r="W196" s="10">
        <f>SUM('Model inputs'!W197,'Model inputs'!W198)</f>
        <v>16.791382292532614</v>
      </c>
      <c r="X196" s="10">
        <f>SUM('Model inputs'!X197,'Model inputs'!X198)</f>
        <v>17.340670547967648</v>
      </c>
      <c r="Y196" s="10">
        <f>SUM('Model inputs'!Y197,'Model inputs'!Y198)</f>
        <v>17.859162948427226</v>
      </c>
      <c r="Z196" s="10">
        <f>SUM('Model inputs'!Z197,'Model inputs'!Z198)</f>
        <v>18.348599173192355</v>
      </c>
      <c r="AA196" s="10">
        <f>SUM('Model inputs'!AA197,'Model inputs'!AA198)</f>
        <v>18.810619924388032</v>
      </c>
      <c r="AB196" s="10">
        <f>SUM('Model inputs'!AB197,'Model inputs'!AB198)</f>
        <v>19.24677259543261</v>
      </c>
      <c r="AC196" s="10">
        <f>SUM('Model inputs'!AC197,'Model inputs'!AC198)</f>
        <v>19.658516612889116</v>
      </c>
      <c r="AD196" s="10">
        <f>SUM('Model inputs'!AD197,'Model inputs'!AD198)</f>
        <v>20.047228470639112</v>
      </c>
      <c r="AE196" s="10">
        <f>SUM('Model inputs'!AE197,'Model inputs'!AE198)</f>
        <v>20.414206474197943</v>
      </c>
      <c r="AF196" s="10">
        <f>SUM('Model inputs'!AF197,'Model inputs'!AF198)</f>
        <v>20.760675211953384</v>
      </c>
      <c r="AG196" s="10">
        <f>SUM('Model inputs'!AG197,'Model inputs'!AG198)</f>
        <v>21.08778976913313</v>
      </c>
      <c r="AH196" s="10">
        <f>SUM('Model inputs'!AH197,'Model inputs'!AH198)</f>
        <v>21.396639699387247</v>
      </c>
      <c r="AI196" s="10">
        <f>SUM('Model inputs'!AI197,'Model inputs'!AI198)</f>
        <v>21.68825276800601</v>
      </c>
    </row>
    <row r="197" outlineLevel="1">
      <c r="A197" t="inlineStr" s="23">
        <is>
          <t xml:space="preserve">Ending stores &gt; Growing shop</t>
        </is>
      </c>
      <c r="C197" s="8">
        <f>'Model inputs'!C18</f>
        <v>0</v>
      </c>
      <c r="D197" s="8">
        <f>'Model inputs'!D18</f>
        <v>0</v>
      </c>
      <c r="E197" s="8">
        <f>'Model inputs'!E18</f>
        <v>0</v>
      </c>
      <c r="F197" s="8">
        <f>'Model inputs'!F18</f>
        <v>0</v>
      </c>
      <c r="G197" s="8">
        <f>'Model inputs'!G18</f>
        <v>0</v>
      </c>
      <c r="H197" s="8">
        <f>'Model inputs'!H18</f>
        <v>0</v>
      </c>
      <c r="I197" s="8">
        <f>'Model inputs'!I18</f>
        <v>0</v>
      </c>
      <c r="J197" s="8">
        <f>'Model inputs'!J18</f>
        <v>0</v>
      </c>
      <c r="K197" s="8">
        <f>'SwapDesk — Operations · Merchan'!B15</f>
        <v>2</v>
      </c>
      <c r="L197" s="8">
        <f>'Model inputs'!L277+'Model inputs'!L269-'Model inputs'!L263</f>
        <v>2.4</v>
      </c>
      <c r="M197" s="8">
        <f>'Model inputs'!M277+'Model inputs'!M269-'Model inputs'!M263</f>
        <v>2.78</v>
      </c>
      <c r="N197" s="8">
        <f>'Model inputs'!N277+'Model inputs'!N269-'Model inputs'!N263</f>
        <v>3.141</v>
      </c>
      <c r="O197" s="8">
        <f>'Model inputs'!O277+'Model inputs'!O269-'Model inputs'!O263</f>
        <v>3.48395</v>
      </c>
      <c r="P197" s="8">
        <f>'Model inputs'!P277+'Model inputs'!P269-'Model inputs'!P263</f>
        <v>3.8097525</v>
      </c>
      <c r="Q197" s="8">
        <f>'Model inputs'!Q277+'Model inputs'!Q269-'Model inputs'!Q263</f>
        <v>4.119264875</v>
      </c>
      <c r="R197" s="8">
        <f>'Model inputs'!R277+'Model inputs'!R269-'Model inputs'!R263</f>
        <v>4.4133016312499995</v>
      </c>
      <c r="S197" s="8">
        <f>'Model inputs'!S277+'Model inputs'!S269-'Model inputs'!S263</f>
        <v>4.692636549687499</v>
      </c>
      <c r="T197" s="8">
        <f>'Model inputs'!T277+'Model inputs'!T269-'Model inputs'!T263</f>
        <v>4.958004722203125</v>
      </c>
      <c r="U197" s="8">
        <f>'Model inputs'!U277+'Model inputs'!U269-'Model inputs'!U263</f>
        <v>5.210104486092969</v>
      </c>
      <c r="V197" s="8">
        <f>'Model inputs'!V277+'Model inputs'!V269-'Model inputs'!V263</f>
        <v>5.44959926178832</v>
      </c>
      <c r="W197" s="8">
        <f>'Model inputs'!W277+'Model inputs'!W269-'Model inputs'!W263</f>
        <v>5.677119298698904</v>
      </c>
      <c r="X197" s="8">
        <f>'Model inputs'!X277+'Model inputs'!X269-'Model inputs'!X263</f>
        <v>5.893263333763959</v>
      </c>
      <c r="Y197" s="8">
        <f>'Model inputs'!Y277+'Model inputs'!Y269-'Model inputs'!Y263</f>
        <v>6.098600167075761</v>
      </c>
      <c r="Z197" s="8">
        <f>'Model inputs'!Z277+'Model inputs'!Z269-'Model inputs'!Z263</f>
        <v>6.293670158721973</v>
      </c>
      <c r="AA197" s="8">
        <f>'Model inputs'!AA277+'Model inputs'!AA269-'Model inputs'!AA263</f>
        <v>6.478986650785874</v>
      </c>
      <c r="AB197" s="8">
        <f>'Model inputs'!AB277+'Model inputs'!AB269-'Model inputs'!AB263</f>
        <v>6.65503731824658</v>
      </c>
      <c r="AC197" s="8">
        <f>'Model inputs'!AC277+'Model inputs'!AC269-'Model inputs'!AC263</f>
        <v>6.822285452334251</v>
      </c>
      <c r="AD197" s="8">
        <f>'Model inputs'!AD277+'Model inputs'!AD269-'Model inputs'!AD263</f>
        <v>6.981171179717538</v>
      </c>
      <c r="AE197" s="8">
        <f>'Model inputs'!AE277+'Model inputs'!AE269-'Model inputs'!AE263</f>
        <v>7.132112620731662</v>
      </c>
      <c r="AF197" s="8">
        <f>'Model inputs'!AF277+'Model inputs'!AF269-'Model inputs'!AF263</f>
        <v>7.275506989695079</v>
      </c>
      <c r="AG197" s="8">
        <f>'Model inputs'!AG277+'Model inputs'!AG269-'Model inputs'!AG263</f>
        <v>7.411731640210325</v>
      </c>
      <c r="AH197" s="8">
        <f>'Model inputs'!AH277+'Model inputs'!AH269-'Model inputs'!AH263</f>
        <v>7.541145058199809</v>
      </c>
      <c r="AI197" s="8">
        <f>'Model inputs'!AI277+'Model inputs'!AI269-'Model inputs'!AI263</f>
        <v>7.664087805289819</v>
      </c>
    </row>
    <row r="198" outlineLevel="1">
      <c r="A198" t="inlineStr" s="23">
        <is>
          <t xml:space="preserve">Ending stores &gt; Small shop</t>
        </is>
      </c>
      <c r="C198" s="8">
        <f>'Model inputs'!C19</f>
        <v>0</v>
      </c>
      <c r="D198" s="8">
        <f>'Model inputs'!D19</f>
        <v>0</v>
      </c>
      <c r="E198" s="8">
        <f>'Model inputs'!E19</f>
        <v>0</v>
      </c>
      <c r="F198" s="8">
        <f>'Model inputs'!F19</f>
        <v>0</v>
      </c>
      <c r="G198" s="8">
        <f>'Model inputs'!G19</f>
        <v>0</v>
      </c>
      <c r="H198" s="8">
        <f>'Model inputs'!H19</f>
        <v>0</v>
      </c>
      <c r="I198" s="8">
        <f>'Model inputs'!I19</f>
        <v>0</v>
      </c>
      <c r="J198" s="8">
        <f>'Model inputs'!J19</f>
        <v>0</v>
      </c>
      <c r="K198" s="8">
        <f>'SwapDesk — Operations · Merchan'!B16</f>
        <v>5</v>
      </c>
      <c r="L198" s="8">
        <f>'Model inputs'!L278+'Model inputs'!L270-'Model inputs'!L264</f>
        <v>5.7</v>
      </c>
      <c r="M198" s="8">
        <f>'Model inputs'!M278+'Model inputs'!M270-'Model inputs'!M264</f>
        <v>6.3580000000000005</v>
      </c>
      <c r="N198" s="8">
        <f>'Model inputs'!N278+'Model inputs'!N270-'Model inputs'!N264</f>
        <v>6.976520000000001</v>
      </c>
      <c r="O198" s="8">
        <f>'Model inputs'!O278+'Model inputs'!O270-'Model inputs'!O264</f>
        <v>7.557928800000001</v>
      </c>
      <c r="P198" s="8">
        <f>'Model inputs'!P278+'Model inputs'!P270-'Model inputs'!P264</f>
        <v>8.104453072</v>
      </c>
      <c r="Q198" s="8">
        <f>'Model inputs'!Q278+'Model inputs'!Q270-'Model inputs'!Q264</f>
        <v>8.61818588768</v>
      </c>
      <c r="R198" s="8">
        <f>'Model inputs'!R278+'Model inputs'!R270-'Model inputs'!R264</f>
        <v>9.101094734419199</v>
      </c>
      <c r="S198" s="8">
        <f>'Model inputs'!S278+'Model inputs'!S270-'Model inputs'!S264</f>
        <v>9.555029050354047</v>
      </c>
      <c r="T198" s="8">
        <f>'Model inputs'!T278+'Model inputs'!T270-'Model inputs'!T264</f>
        <v>9.981727307332804</v>
      </c>
      <c r="U198" s="8">
        <f>'Model inputs'!U278+'Model inputs'!U270-'Model inputs'!U264</f>
        <v>10.382823668892836</v>
      </c>
      <c r="V198" s="8">
        <f>'Model inputs'!V278+'Model inputs'!V270-'Model inputs'!V264</f>
        <v>10.759854248759266</v>
      </c>
      <c r="W198" s="8">
        <f>'Model inputs'!W278+'Model inputs'!W270-'Model inputs'!W264</f>
        <v>11.11426299383371</v>
      </c>
      <c r="X198" s="8">
        <f>'Model inputs'!X278+'Model inputs'!X270-'Model inputs'!X264</f>
        <v>11.447407214203688</v>
      </c>
      <c r="Y198" s="8">
        <f>'Model inputs'!Y278+'Model inputs'!Y270-'Model inputs'!Y264</f>
        <v>11.760562781351467</v>
      </c>
      <c r="Z198" s="8">
        <f>'Model inputs'!Z278+'Model inputs'!Z270-'Model inputs'!Z264</f>
        <v>12.05492901447038</v>
      </c>
      <c r="AA198" s="8">
        <f>'Model inputs'!AA278+'Model inputs'!AA270-'Model inputs'!AA264</f>
        <v>12.331633273602158</v>
      </c>
      <c r="AB198" s="8">
        <f>'Model inputs'!AB278+'Model inputs'!AB270-'Model inputs'!AB264</f>
        <v>12.591735277186029</v>
      </c>
      <c r="AC198" s="8">
        <f>'Model inputs'!AC278+'Model inputs'!AC270-'Model inputs'!AC264</f>
        <v>12.836231160554867</v>
      </c>
      <c r="AD198" s="8">
        <f>'Model inputs'!AD278+'Model inputs'!AD270-'Model inputs'!AD264</f>
        <v>13.066057290921576</v>
      </c>
      <c r="AE198" s="8">
        <f>'Model inputs'!AE278+'Model inputs'!AE270-'Model inputs'!AE264</f>
        <v>13.28209385346628</v>
      </c>
      <c r="AF198" s="8">
        <f>'Model inputs'!AF278+'Model inputs'!AF270-'Model inputs'!AF264</f>
        <v>13.485168222258304</v>
      </c>
      <c r="AG198" s="8">
        <f>'Model inputs'!AG278+'Model inputs'!AG270-'Model inputs'!AG264</f>
        <v>13.676058128922806</v>
      </c>
      <c r="AH198" s="8">
        <f>'Model inputs'!AH278+'Model inputs'!AH270-'Model inputs'!AH264</f>
        <v>13.855494641187438</v>
      </c>
      <c r="AI198" s="8">
        <f>'Model inputs'!AI278+'Model inputs'!AI270-'Model inputs'!AI264</f>
        <v>14.024164962716192</v>
      </c>
    </row>
    <row r="199">
      <c r="A199" t="inlineStr" s="22">
        <is>
          <t xml:space="preserve">Ending stores</t>
        </is>
      </c>
      <c r="C199" s="10">
        <f>SUM('Model inputs'!C200,'Model inputs'!C201)</f>
        <v>0</v>
      </c>
      <c r="D199" s="10">
        <f>SUM('Model inputs'!D200,'Model inputs'!D201)</f>
        <v>0</v>
      </c>
      <c r="E199" s="10">
        <f>SUM('Model inputs'!E200,'Model inputs'!E201)</f>
        <v>0</v>
      </c>
      <c r="F199" s="10">
        <f>SUM('Model inputs'!F200,'Model inputs'!F201)</f>
        <v>0</v>
      </c>
      <c r="G199" s="10">
        <f>SUM('Model inputs'!G200,'Model inputs'!G201)</f>
        <v>0</v>
      </c>
      <c r="H199" s="10">
        <f>SUM('Model inputs'!H200,'Model inputs'!H201)</f>
        <v>0</v>
      </c>
      <c r="I199" s="10">
        <f>SUM('Model inputs'!I200,'Model inputs'!I201)</f>
        <v>0</v>
      </c>
      <c r="J199" s="10">
        <f>SUM('Model inputs'!J200,'Model inputs'!J201)</f>
        <v>0</v>
      </c>
      <c r="K199" s="10">
        <f>SUM('Model inputs'!K200,'Model inputs'!K201)</f>
        <v>7</v>
      </c>
      <c r="L199" s="10">
        <f>SUM('Model inputs'!L200,'Model inputs'!L201)</f>
        <v>11.370000000000001</v>
      </c>
      <c r="M199" s="10">
        <f>SUM('Model inputs'!M200,'Model inputs'!M201)</f>
        <v>15.659950000000002</v>
      </c>
      <c r="N199" s="10">
        <f>SUM('Model inputs'!N200,'Model inputs'!N201)</f>
        <v>19.87134075</v>
      </c>
      <c r="O199" s="10">
        <f>SUM('Model inputs'!O200,'Model inputs'!O201)</f>
        <v>24.005634838750005</v>
      </c>
      <c r="P199" s="10">
        <f>SUM('Model inputs'!P200,'Model inputs'!P201)</f>
        <v>28.064267232168753</v>
      </c>
      <c r="Q199" s="10">
        <f>SUM('Model inputs'!Q200,'Model inputs'!Q201)</f>
        <v>32.04864580136622</v>
      </c>
      <c r="R199" s="10">
        <f>SUM('Model inputs'!R200,'Model inputs'!R201)</f>
        <v>35.96015184047213</v>
      </c>
      <c r="S199" s="10">
        <f>SUM('Model inputs'!S200,'Model inputs'!S201)</f>
        <v>39.80014057446892</v>
      </c>
      <c r="T199" s="10">
        <f>SUM('Model inputs'!T200,'Model inputs'!T201)</f>
        <v>43.56994165722368</v>
      </c>
      <c r="U199" s="10">
        <f>SUM('Model inputs'!U200,'Model inputs'!U201)</f>
        <v>47.27085965990969</v>
      </c>
      <c r="V199" s="10">
        <f>SUM('Model inputs'!V200,'Model inputs'!V201)</f>
        <v>50.90417455000451</v>
      </c>
      <c r="W199" s="10">
        <f>SUM('Model inputs'!W200,'Model inputs'!W201)</f>
        <v>54.47114216104805</v>
      </c>
      <c r="X199" s="10">
        <f>SUM('Model inputs'!X200,'Model inputs'!X201)</f>
        <v>57.97299465334005</v>
      </c>
      <c r="Y199" s="10">
        <f>SUM('Model inputs'!Y200,'Model inputs'!Y201)</f>
        <v>61.410940965753525</v>
      </c>
      <c r="Z199" s="10">
        <f>SUM('Model inputs'!Z200,'Model inputs'!Z201)</f>
        <v>64.78616725883653</v>
      </c>
      <c r="AA199" s="10">
        <f>SUM('Model inputs'!AA200,'Model inputs'!AA201)</f>
        <v>68.0998373493719</v>
      </c>
      <c r="AB199" s="10">
        <f>SUM('Model inputs'!AB200,'Model inputs'!AB201)</f>
        <v>71.35309313656087</v>
      </c>
      <c r="AC199" s="10">
        <f>SUM('Model inputs'!AC200,'Model inputs'!AC201)</f>
        <v>74.54705501999342</v>
      </c>
      <c r="AD199" s="10">
        <f>SUM('Model inputs'!AD200,'Model inputs'!AD201)</f>
        <v>77.68282230956487</v>
      </c>
      <c r="AE199" s="10">
        <f>SUM('Model inputs'!AE200,'Model inputs'!AE201)</f>
        <v>80.76147362749532</v>
      </c>
      <c r="AF199" s="10">
        <f>SUM('Model inputs'!AF200,'Model inputs'!AF201)</f>
        <v>83.78406730260534</v>
      </c>
      <c r="AG199" s="10">
        <f>SUM('Model inputs'!AG200,'Model inputs'!AG201)</f>
        <v>86.75164175699825</v>
      </c>
      <c r="AH199" s="10">
        <f>SUM('Model inputs'!AH200,'Model inputs'!AH201)</f>
        <v>89.66521588529663</v>
      </c>
      <c r="AI199" s="10">
        <f>SUM('Model inputs'!AI200,'Model inputs'!AI201)</f>
        <v>92.52578942657748</v>
      </c>
    </row>
    <row r="200" outlineLevel="1">
      <c r="A200" t="inlineStr" s="23">
        <is>
          <t xml:space="preserve">Ending stores &gt; Growing shop</t>
        </is>
      </c>
      <c r="C200" s="8">
        <f>'Model inputs'!C18</f>
        <v>0</v>
      </c>
      <c r="D200" s="8">
        <f>'Model inputs'!D18</f>
        <v>0</v>
      </c>
      <c r="E200" s="8">
        <f>'Model inputs'!E18</f>
        <v>0</v>
      </c>
      <c r="F200" s="8">
        <f>'Model inputs'!F18</f>
        <v>0</v>
      </c>
      <c r="G200" s="8">
        <f>'Model inputs'!G18</f>
        <v>0</v>
      </c>
      <c r="H200" s="8">
        <f>'Model inputs'!H18</f>
        <v>0</v>
      </c>
      <c r="I200" s="8">
        <f>'Model inputs'!I18</f>
        <v>0</v>
      </c>
      <c r="J200" s="8">
        <f>'Model inputs'!J18</f>
        <v>0</v>
      </c>
      <c r="K200" s="8">
        <f>'SwapDesk — Operations · Merchan'!B15</f>
        <v>2</v>
      </c>
      <c r="L200" s="8">
        <f>'Model inputs'!L280+'Model inputs'!L272-'Model inputs'!L266</f>
        <v>3.47</v>
      </c>
      <c r="M200" s="8">
        <f>'Model inputs'!M280+'Model inputs'!M272-'Model inputs'!M266</f>
        <v>4.91795</v>
      </c>
      <c r="N200" s="8">
        <f>'Model inputs'!N280+'Model inputs'!N272-'Model inputs'!N266</f>
        <v>6.3441807500000005</v>
      </c>
      <c r="O200" s="8">
        <f>'Model inputs'!O280+'Model inputs'!O272-'Model inputs'!O266</f>
        <v>7.74901803875</v>
      </c>
      <c r="P200" s="8">
        <f>'Model inputs'!P280+'Model inputs'!P272-'Model inputs'!P266</f>
        <v>9.13278276816875</v>
      </c>
      <c r="Q200" s="8">
        <f>'Model inputs'!Q280+'Model inputs'!Q272-'Model inputs'!Q266</f>
        <v>10.49579102664622</v>
      </c>
      <c r="R200" s="8">
        <f>'Model inputs'!R280+'Model inputs'!R272-'Model inputs'!R266</f>
        <v>11.838354161246526</v>
      </c>
      <c r="S200" s="8">
        <f>'Model inputs'!S280+'Model inputs'!S272-'Model inputs'!S266</f>
        <v>13.160778848827828</v>
      </c>
      <c r="T200" s="8">
        <f>'Model inputs'!T280+'Model inputs'!T272-'Model inputs'!T266</f>
        <v>14.463367166095411</v>
      </c>
      <c r="U200" s="8">
        <f>'Model inputs'!U280+'Model inputs'!U272-'Model inputs'!U266</f>
        <v>15.74641665860398</v>
      </c>
      <c r="V200" s="8">
        <f>'Model inputs'!V280+'Model inputs'!V272-'Model inputs'!V266</f>
        <v>17.01022040872492</v>
      </c>
      <c r="W200" s="8">
        <f>'Model inputs'!W280+'Model inputs'!W272-'Model inputs'!W266</f>
        <v>18.255067102594044</v>
      </c>
      <c r="X200" s="8">
        <f>'Model inputs'!X280+'Model inputs'!X272-'Model inputs'!X266</f>
        <v>19.481241096055133</v>
      </c>
      <c r="Y200" s="8">
        <f>'Model inputs'!Y280+'Model inputs'!Y272-'Model inputs'!Y266</f>
        <v>20.689022479614305</v>
      </c>
      <c r="Z200" s="8">
        <f>'Model inputs'!Z280+'Model inputs'!Z272-'Model inputs'!Z266</f>
        <v>21.87868714242009</v>
      </c>
      <c r="AA200" s="8">
        <f>'Model inputs'!AA280+'Model inputs'!AA272-'Model inputs'!AA266</f>
        <v>23.05050683528379</v>
      </c>
      <c r="AB200" s="8">
        <f>'Model inputs'!AB280+'Model inputs'!AB272-'Model inputs'!AB266</f>
        <v>24.204749232754533</v>
      </c>
      <c r="AC200" s="8">
        <f>'Model inputs'!AC280+'Model inputs'!AC272-'Model inputs'!AC266</f>
        <v>25.341677994263215</v>
      </c>
      <c r="AD200" s="8">
        <f>'Model inputs'!AD280+'Model inputs'!AD272-'Model inputs'!AD266</f>
        <v>26.461552824349265</v>
      </c>
      <c r="AE200" s="8">
        <f>'Model inputs'!AE280+'Model inputs'!AE272-'Model inputs'!AE266</f>
        <v>27.564629531984025</v>
      </c>
      <c r="AF200" s="8">
        <f>'Model inputs'!AF280+'Model inputs'!AF272-'Model inputs'!AF266</f>
        <v>28.651160089004264</v>
      </c>
      <c r="AG200" s="8">
        <f>'Model inputs'!AG280+'Model inputs'!AG272-'Model inputs'!AG266</f>
        <v>29.7213926876692</v>
      </c>
      <c r="AH200" s="8">
        <f>'Model inputs'!AH280+'Model inputs'!AH272-'Model inputs'!AH266</f>
        <v>30.775571797354164</v>
      </c>
      <c r="AI200" s="8">
        <f>'Model inputs'!AI280+'Model inputs'!AI272-'Model inputs'!AI266</f>
        <v>31.813938220393847</v>
      </c>
    </row>
    <row r="201" outlineLevel="1">
      <c r="A201" t="inlineStr" s="23">
        <is>
          <t xml:space="preserve">Ending stores &gt; Small shop</t>
        </is>
      </c>
      <c r="C201" s="8">
        <f>'Model inputs'!C19</f>
        <v>0</v>
      </c>
      <c r="D201" s="8">
        <f>'Model inputs'!D19</f>
        <v>0</v>
      </c>
      <c r="E201" s="8">
        <f>'Model inputs'!E19</f>
        <v>0</v>
      </c>
      <c r="F201" s="8">
        <f>'Model inputs'!F19</f>
        <v>0</v>
      </c>
      <c r="G201" s="8">
        <f>'Model inputs'!G19</f>
        <v>0</v>
      </c>
      <c r="H201" s="8">
        <f>'Model inputs'!H19</f>
        <v>0</v>
      </c>
      <c r="I201" s="8">
        <f>'Model inputs'!I19</f>
        <v>0</v>
      </c>
      <c r="J201" s="8">
        <f>'Model inputs'!J19</f>
        <v>0</v>
      </c>
      <c r="K201" s="8">
        <f>'SwapDesk — Operations · Merchan'!B16</f>
        <v>5</v>
      </c>
      <c r="L201" s="8">
        <f>'Model inputs'!L281+'Model inputs'!L273-'Model inputs'!L267</f>
        <v>7.9</v>
      </c>
      <c r="M201" s="8">
        <f>'Model inputs'!M281+'Model inputs'!M273-'Model inputs'!M267</f>
        <v>10.742</v>
      </c>
      <c r="N201" s="8">
        <f>'Model inputs'!N281+'Model inputs'!N273-'Model inputs'!N267</f>
        <v>13.52716</v>
      </c>
      <c r="O201" s="8">
        <f>'Model inputs'!O281+'Model inputs'!O273-'Model inputs'!O267</f>
        <v>16.256616800000003</v>
      </c>
      <c r="P201" s="8">
        <f>'Model inputs'!P281+'Model inputs'!P273-'Model inputs'!P267</f>
        <v>18.931484464000004</v>
      </c>
      <c r="Q201" s="8">
        <f>'Model inputs'!Q281+'Model inputs'!Q273-'Model inputs'!Q267</f>
        <v>21.552854774720004</v>
      </c>
      <c r="R201" s="8">
        <f>'Model inputs'!R281+'Model inputs'!R273-'Model inputs'!R267</f>
        <v>24.121797679225605</v>
      </c>
      <c r="S201" s="8">
        <f>'Model inputs'!S281+'Model inputs'!S273-'Model inputs'!S267</f>
        <v>26.63936172564109</v>
      </c>
      <c r="T201" s="8">
        <f>'Model inputs'!T281+'Model inputs'!T273-'Model inputs'!T267</f>
        <v>29.10657449112827</v>
      </c>
      <c r="U201" s="8">
        <f>'Model inputs'!U281+'Model inputs'!U273-'Model inputs'!U267</f>
        <v>31.524443001305706</v>
      </c>
      <c r="V201" s="8">
        <f>'Model inputs'!V281+'Model inputs'!V273-'Model inputs'!V267</f>
        <v>33.89395414127959</v>
      </c>
      <c r="W201" s="8">
        <f>'Model inputs'!W281+'Model inputs'!W273-'Model inputs'!W267</f>
        <v>36.216075058454</v>
      </c>
      <c r="X201" s="8">
        <f>'Model inputs'!X281+'Model inputs'!X273-'Model inputs'!X267</f>
        <v>38.49175355728492</v>
      </c>
      <c r="Y201" s="8">
        <f>'Model inputs'!Y281+'Model inputs'!Y273-'Model inputs'!Y267</f>
        <v>40.721918486139224</v>
      </c>
      <c r="Z201" s="8">
        <f>'Model inputs'!Z281+'Model inputs'!Z273-'Model inputs'!Z267</f>
        <v>42.90748011641644</v>
      </c>
      <c r="AA201" s="8">
        <f>'Model inputs'!AA281+'Model inputs'!AA273-'Model inputs'!AA267</f>
        <v>45.049330514088105</v>
      </c>
      <c r="AB201" s="8">
        <f>'Model inputs'!AB281+'Model inputs'!AB273-'Model inputs'!AB267</f>
        <v>47.14834390380634</v>
      </c>
      <c r="AC201" s="8">
        <f>'Model inputs'!AC281+'Model inputs'!AC273-'Model inputs'!AC267</f>
        <v>49.205377025730215</v>
      </c>
      <c r="AD201" s="8">
        <f>'Model inputs'!AD281+'Model inputs'!AD273-'Model inputs'!AD267</f>
        <v>51.22126948521561</v>
      </c>
      <c r="AE201" s="8">
        <f>'Model inputs'!AE281+'Model inputs'!AE273-'Model inputs'!AE267</f>
        <v>53.196844095511295</v>
      </c>
      <c r="AF201" s="8">
        <f>'Model inputs'!AF281+'Model inputs'!AF273-'Model inputs'!AF267</f>
        <v>55.13290721360107</v>
      </c>
      <c r="AG201" s="8">
        <f>'Model inputs'!AG281+'Model inputs'!AG273-'Model inputs'!AG267</f>
        <v>57.03024906932905</v>
      </c>
      <c r="AH201" s="8">
        <f>'Model inputs'!AH281+'Model inputs'!AH273-'Model inputs'!AH267</f>
        <v>58.88964408794247</v>
      </c>
      <c r="AI201" s="8">
        <f>'Model inputs'!AI281+'Model inputs'!AI273-'Model inputs'!AI267</f>
        <v>60.711851206183624</v>
      </c>
    </row>
    <row r="202">
      <c r="A202" t="inlineStr" s="22">
        <is>
          <t xml:space="preserve">Fixed infrastructure cost · Fixed hosting · Bad Reliability · Bad Reliability</t>
        </is>
      </c>
      <c r="B202" s="9">
        <f>'SwapDesk — Assumptions · Commer'!B12</f>
        <v>75</v>
      </c>
    </row>
    <row r="203">
      <c r="A203" t="inlineStr" s="22">
        <is>
          <t xml:space="preserve">Fixed infrastructure cost · Fixed hosting · Growth · Growth</t>
        </is>
      </c>
      <c r="B203" s="9">
        <f>'SwapDesk — Assumptions · Commer'!B12</f>
        <v>75</v>
      </c>
    </row>
    <row r="204">
      <c r="A204" t="inlineStr" s="22">
        <is>
          <t xml:space="preserve">Founder payroll</t>
        </is>
      </c>
      <c r="C204" s="6">
        <f>IF('Model inputs'!C157="","",'Model inputs'!C157)</f>
        <v>0</v>
      </c>
      <c r="D204" s="6">
        <f>IF('Model inputs'!D157="","",'Model inputs'!D157)</f>
        <v>0</v>
      </c>
      <c r="E204" s="6">
        <f>IF('Model inputs'!E157="","",'Model inputs'!E157)</f>
        <v>0</v>
      </c>
      <c r="F204" s="6">
        <f>IF('Model inputs'!F157="","",'Model inputs'!F157)</f>
        <v>0</v>
      </c>
      <c r="G204" s="6">
        <f>IF('Model inputs'!G157="","",'Model inputs'!G157)</f>
        <v>0</v>
      </c>
      <c r="H204" s="6">
        <f>IF('Model inputs'!H157="","",'Model inputs'!H157)</f>
        <v>0</v>
      </c>
      <c r="I204" s="6">
        <f>IF('Model inputs'!I157="","",'Model inputs'!I157)</f>
        <v>0</v>
      </c>
      <c r="J204" s="6">
        <f>IF('Model inputs'!J157="","",'Model inputs'!J157)</f>
        <v>0</v>
      </c>
      <c r="K204" s="6">
        <f>IF('Model inputs'!K157="","",'Model inputs'!K157)</f>
        <v>0</v>
      </c>
      <c r="L204" s="6">
        <f>IF('Model inputs'!L157="","",'Model inputs'!L157)</f>
        <v>0</v>
      </c>
      <c r="M204" s="6">
        <f>IF('Model inputs'!M157="","",'Model inputs'!M157)</f>
        <v>0</v>
      </c>
      <c r="N204" s="6">
        <f>IF('Model inputs'!N157="","",'Model inputs'!N157)</f>
        <v>0</v>
      </c>
      <c r="O204" s="6">
        <f>IF('Model inputs'!O157="","",'Model inputs'!O157)</f>
        <v>2000</v>
      </c>
      <c r="P204" s="6">
        <f>IF('Model inputs'!P157="","",'Model inputs'!P157)</f>
        <v>2000</v>
      </c>
      <c r="Q204" s="6">
        <f>IF('Model inputs'!Q157="","",'Model inputs'!Q157)</f>
        <v>2000</v>
      </c>
      <c r="R204" s="6">
        <f>IF('Model inputs'!R157="","",'Model inputs'!R157)</f>
        <v>2000</v>
      </c>
      <c r="S204" s="6">
        <f>IF('Model inputs'!S157="","",'Model inputs'!S157)</f>
        <v>2000</v>
      </c>
      <c r="T204" s="6">
        <f>IF('Model inputs'!T157="","",'Model inputs'!T157)</f>
        <v>2000</v>
      </c>
      <c r="U204" s="6">
        <f>IF('Model inputs'!U157="","",'Model inputs'!U157)</f>
        <v>2000</v>
      </c>
      <c r="V204" s="6">
        <f>IF('Model inputs'!V157="","",'Model inputs'!V157)</f>
        <v>2000</v>
      </c>
      <c r="W204" s="6">
        <f>IF('Model inputs'!W157="","",'Model inputs'!W157)</f>
        <v>2000</v>
      </c>
      <c r="X204" s="6">
        <f>IF('Model inputs'!X157="","",'Model inputs'!X157)</f>
        <v>2000</v>
      </c>
      <c r="Y204" s="6">
        <f>IF('Model inputs'!Y157="","",'Model inputs'!Y157)</f>
        <v>2000</v>
      </c>
      <c r="Z204" s="6">
        <f>IF('Model inputs'!Z157="","",'Model inputs'!Z157)</f>
        <v>2000</v>
      </c>
      <c r="AA204" s="6">
        <f>IF('Model inputs'!AA157="","",'Model inputs'!AA157)</f>
        <v>2000</v>
      </c>
      <c r="AB204" s="6">
        <f>IF('Model inputs'!AB157="","",'Model inputs'!AB157)</f>
        <v>2000</v>
      </c>
      <c r="AC204" s="6">
        <f>IF('Model inputs'!AC157="","",'Model inputs'!AC157)</f>
        <v>2000</v>
      </c>
      <c r="AD204" s="6">
        <f>IF('Model inputs'!AD157="","",'Model inputs'!AD157)</f>
        <v>2000</v>
      </c>
      <c r="AE204" s="6">
        <f>IF('Model inputs'!AE157="","",'Model inputs'!AE157)</f>
        <v>2000</v>
      </c>
      <c r="AF204" s="6">
        <f>IF('Model inputs'!AF157="","",'Model inputs'!AF157)</f>
        <v>2000</v>
      </c>
      <c r="AG204" s="6">
        <f>IF('Model inputs'!AG157="","",'Model inputs'!AG157)</f>
        <v>2000</v>
      </c>
      <c r="AH204" s="6">
        <f>IF('Model inputs'!AH157="","",'Model inputs'!AH157)</f>
        <v>2000</v>
      </c>
      <c r="AI204" s="6">
        <f>IF('Model inputs'!AI157="","",'Model inputs'!AI157)</f>
        <v>2000</v>
      </c>
    </row>
    <row r="205" outlineLevel="1">
      <c r="A205" t="inlineStr" s="23">
        <is>
          <t xml:space="preserve">Founder payroll &gt; Placeholder founder 1</t>
        </is>
      </c>
      <c r="C205" s="9">
        <f>'Model inputs'!C136</f>
        <v>0</v>
      </c>
      <c r="D205" s="9">
        <f>'Model inputs'!D136</f>
        <v>0</v>
      </c>
      <c r="E205" s="9">
        <f>'Model inputs'!E136</f>
        <v>0</v>
      </c>
      <c r="F205" s="9">
        <f>'Model inputs'!F136</f>
        <v>0</v>
      </c>
      <c r="G205" s="9">
        <f>'Model inputs'!G136</f>
        <v>0</v>
      </c>
      <c r="H205" s="9">
        <f>'Model inputs'!H136</f>
        <v>0</v>
      </c>
      <c r="I205" s="9">
        <f>'Model inputs'!I136</f>
        <v>0</v>
      </c>
      <c r="J205" s="9">
        <f>'Model inputs'!J136</f>
        <v>0</v>
      </c>
      <c r="K205" s="9">
        <f>'SwapDesk — Financials · Founder'!B6</f>
        <v>0</v>
      </c>
      <c r="L205" s="9">
        <f>IF(IF(IF(ISERROR(DATE(2026,10,1)&gt;=DATE(YEAR('Model inputs'!B257),MONTH('Model inputs'!B257),1)),DATE(2026,10,1)&gt;=DATE(YEAR('Model inputs'!B257),MONTH('Model inputs'!B257),1),IF(DATE(YEAR('Model inputs'!B257),MONTH('Model inputs'!B257),1)="","",DATE(2026,10,1)&gt;=DATE(YEAR('Model inputs'!B257),MONTH('Model inputs'!B257),1)))="",FALSE,IF(ISERROR(DATE(2026,10,1)&gt;=DATE(YEAR('Model inputs'!B257),MONTH('Model inputs'!B257),1)),DATE(2026,10,1)&gt;=DATE(YEAR('Model inputs'!B257),MONTH('Model inputs'!B257),1),IF(DATE(YEAR('Model inputs'!B257),MONTH('Model inputs'!B257),1)="","",DATE(2026,10,1)&gt;=DATE(YEAR('Model inputs'!B257),MONTH('Model inputs'!B257),1)))),'Model inputs'!B283/12,0)</f>
        <v>0</v>
      </c>
      <c r="M205" s="9">
        <f>IF(IF(IF(ISERROR(DATE(2026,11,1)&gt;=DATE(YEAR('Model inputs'!B257),MONTH('Model inputs'!B257),1)),DATE(2026,11,1)&gt;=DATE(YEAR('Model inputs'!B257),MONTH('Model inputs'!B257),1),IF(DATE(YEAR('Model inputs'!B257),MONTH('Model inputs'!B257),1)="","",DATE(2026,11,1)&gt;=DATE(YEAR('Model inputs'!B257),MONTH('Model inputs'!B257),1)))="",FALSE,IF(ISERROR(DATE(2026,11,1)&gt;=DATE(YEAR('Model inputs'!B257),MONTH('Model inputs'!B257),1)),DATE(2026,11,1)&gt;=DATE(YEAR('Model inputs'!B257),MONTH('Model inputs'!B257),1),IF(DATE(YEAR('Model inputs'!B257),MONTH('Model inputs'!B257),1)="","",DATE(2026,11,1)&gt;=DATE(YEAR('Model inputs'!B257),MONTH('Model inputs'!B257),1)))),'Model inputs'!B283/12,0)</f>
        <v>0</v>
      </c>
      <c r="N205" s="9">
        <f>IF(IF(IF(ISERROR(DATE(2026,12,1)&gt;=DATE(YEAR('Model inputs'!B257),MONTH('Model inputs'!B257),1)),DATE(2026,12,1)&gt;=DATE(YEAR('Model inputs'!B257),MONTH('Model inputs'!B257),1),IF(DATE(YEAR('Model inputs'!B257),MONTH('Model inputs'!B257),1)="","",DATE(2026,12,1)&gt;=DATE(YEAR('Model inputs'!B257),MONTH('Model inputs'!B257),1)))="",FALSE,IF(ISERROR(DATE(2026,12,1)&gt;=DATE(YEAR('Model inputs'!B257),MONTH('Model inputs'!B257),1)),DATE(2026,12,1)&gt;=DATE(YEAR('Model inputs'!B257),MONTH('Model inputs'!B257),1),IF(DATE(YEAR('Model inputs'!B257),MONTH('Model inputs'!B257),1)="","",DATE(2026,12,1)&gt;=DATE(YEAR('Model inputs'!B257),MONTH('Model inputs'!B257),1)))),'Model inputs'!B283/12,0)</f>
        <v>0</v>
      </c>
      <c r="O205" s="9">
        <f>IF(IF(IF(ISERROR(DATE(2027,1,1)&gt;=DATE(YEAR('Model inputs'!B257),MONTH('Model inputs'!B257),1)),DATE(2027,1,1)&gt;=DATE(YEAR('Model inputs'!B257),MONTH('Model inputs'!B257),1),IF(DATE(YEAR('Model inputs'!B257),MONTH('Model inputs'!B257),1)="","",DATE(2027,1,1)&gt;=DATE(YEAR('Model inputs'!B257),MONTH('Model inputs'!B257),1)))="",FALSE,IF(ISERROR(DATE(2027,1,1)&gt;=DATE(YEAR('Model inputs'!B257),MONTH('Model inputs'!B257),1)),DATE(2027,1,1)&gt;=DATE(YEAR('Model inputs'!B257),MONTH('Model inputs'!B257),1),IF(DATE(YEAR('Model inputs'!B257),MONTH('Model inputs'!B257),1)="","",DATE(2027,1,1)&gt;=DATE(YEAR('Model inputs'!B257),MONTH('Model inputs'!B257),1)))),'Model inputs'!B283/12,0)</f>
        <v>2000</v>
      </c>
      <c r="P205" s="9">
        <f>IF(IF(IF(ISERROR(DATE(2027,2,1)&gt;=DATE(YEAR('Model inputs'!B257),MONTH('Model inputs'!B257),1)),DATE(2027,2,1)&gt;=DATE(YEAR('Model inputs'!B257),MONTH('Model inputs'!B257),1),IF(DATE(YEAR('Model inputs'!B257),MONTH('Model inputs'!B257),1)="","",DATE(2027,2,1)&gt;=DATE(YEAR('Model inputs'!B257),MONTH('Model inputs'!B257),1)))="",FALSE,IF(ISERROR(DATE(2027,2,1)&gt;=DATE(YEAR('Model inputs'!B257),MONTH('Model inputs'!B257),1)),DATE(2027,2,1)&gt;=DATE(YEAR('Model inputs'!B257),MONTH('Model inputs'!B257),1),IF(DATE(YEAR('Model inputs'!B257),MONTH('Model inputs'!B257),1)="","",DATE(2027,2,1)&gt;=DATE(YEAR('Model inputs'!B257),MONTH('Model inputs'!B257),1)))),'Model inputs'!B283/12,0)</f>
        <v>2000</v>
      </c>
      <c r="Q205" s="9">
        <f>IF(IF(IF(ISERROR(DATE(2027,3,1)&gt;=DATE(YEAR('Model inputs'!B257),MONTH('Model inputs'!B257),1)),DATE(2027,3,1)&gt;=DATE(YEAR('Model inputs'!B257),MONTH('Model inputs'!B257),1),IF(DATE(YEAR('Model inputs'!B257),MONTH('Model inputs'!B257),1)="","",DATE(2027,3,1)&gt;=DATE(YEAR('Model inputs'!B257),MONTH('Model inputs'!B257),1)))="",FALSE,IF(ISERROR(DATE(2027,3,1)&gt;=DATE(YEAR('Model inputs'!B257),MONTH('Model inputs'!B257),1)),DATE(2027,3,1)&gt;=DATE(YEAR('Model inputs'!B257),MONTH('Model inputs'!B257),1),IF(DATE(YEAR('Model inputs'!B257),MONTH('Model inputs'!B257),1)="","",DATE(2027,3,1)&gt;=DATE(YEAR('Model inputs'!B257),MONTH('Model inputs'!B257),1)))),'Model inputs'!B283/12,0)</f>
        <v>2000</v>
      </c>
      <c r="R205" s="9">
        <f>IF(IF(IF(ISERROR(DATE(2027,4,1)&gt;=DATE(YEAR('Model inputs'!B257),MONTH('Model inputs'!B257),1)),DATE(2027,4,1)&gt;=DATE(YEAR('Model inputs'!B257),MONTH('Model inputs'!B257),1),IF(DATE(YEAR('Model inputs'!B257),MONTH('Model inputs'!B257),1)="","",DATE(2027,4,1)&gt;=DATE(YEAR('Model inputs'!B257),MONTH('Model inputs'!B257),1)))="",FALSE,IF(ISERROR(DATE(2027,4,1)&gt;=DATE(YEAR('Model inputs'!B257),MONTH('Model inputs'!B257),1)),DATE(2027,4,1)&gt;=DATE(YEAR('Model inputs'!B257),MONTH('Model inputs'!B257),1),IF(DATE(YEAR('Model inputs'!B257),MONTH('Model inputs'!B257),1)="","",DATE(2027,4,1)&gt;=DATE(YEAR('Model inputs'!B257),MONTH('Model inputs'!B257),1)))),'Model inputs'!B283/12,0)</f>
        <v>2000</v>
      </c>
      <c r="S205" s="9">
        <f>IF(IF(IF(ISERROR(DATE(2027,5,1)&gt;=DATE(YEAR('Model inputs'!B257),MONTH('Model inputs'!B257),1)),DATE(2027,5,1)&gt;=DATE(YEAR('Model inputs'!B257),MONTH('Model inputs'!B257),1),IF(DATE(YEAR('Model inputs'!B257),MONTH('Model inputs'!B257),1)="","",DATE(2027,5,1)&gt;=DATE(YEAR('Model inputs'!B257),MONTH('Model inputs'!B257),1)))="",FALSE,IF(ISERROR(DATE(2027,5,1)&gt;=DATE(YEAR('Model inputs'!B257),MONTH('Model inputs'!B257),1)),DATE(2027,5,1)&gt;=DATE(YEAR('Model inputs'!B257),MONTH('Model inputs'!B257),1),IF(DATE(YEAR('Model inputs'!B257),MONTH('Model inputs'!B257),1)="","",DATE(2027,5,1)&gt;=DATE(YEAR('Model inputs'!B257),MONTH('Model inputs'!B257),1)))),'Model inputs'!B283/12,0)</f>
        <v>2000</v>
      </c>
      <c r="T205" s="9">
        <f>IF(IF(IF(ISERROR(DATE(2027,6,1)&gt;=DATE(YEAR('Model inputs'!B257),MONTH('Model inputs'!B257),1)),DATE(2027,6,1)&gt;=DATE(YEAR('Model inputs'!B257),MONTH('Model inputs'!B257),1),IF(DATE(YEAR('Model inputs'!B257),MONTH('Model inputs'!B257),1)="","",DATE(2027,6,1)&gt;=DATE(YEAR('Model inputs'!B257),MONTH('Model inputs'!B257),1)))="",FALSE,IF(ISERROR(DATE(2027,6,1)&gt;=DATE(YEAR('Model inputs'!B257),MONTH('Model inputs'!B257),1)),DATE(2027,6,1)&gt;=DATE(YEAR('Model inputs'!B257),MONTH('Model inputs'!B257),1),IF(DATE(YEAR('Model inputs'!B257),MONTH('Model inputs'!B257),1)="","",DATE(2027,6,1)&gt;=DATE(YEAR('Model inputs'!B257),MONTH('Model inputs'!B257),1)))),'Model inputs'!B283/12,0)</f>
        <v>2000</v>
      </c>
      <c r="U205" s="9">
        <f>IF(IF(IF(ISERROR(DATE(2027,7,1)&gt;=DATE(YEAR('Model inputs'!B257),MONTH('Model inputs'!B257),1)),DATE(2027,7,1)&gt;=DATE(YEAR('Model inputs'!B257),MONTH('Model inputs'!B257),1),IF(DATE(YEAR('Model inputs'!B257),MONTH('Model inputs'!B257),1)="","",DATE(2027,7,1)&gt;=DATE(YEAR('Model inputs'!B257),MONTH('Model inputs'!B257),1)))="",FALSE,IF(ISERROR(DATE(2027,7,1)&gt;=DATE(YEAR('Model inputs'!B257),MONTH('Model inputs'!B257),1)),DATE(2027,7,1)&gt;=DATE(YEAR('Model inputs'!B257),MONTH('Model inputs'!B257),1),IF(DATE(YEAR('Model inputs'!B257),MONTH('Model inputs'!B257),1)="","",DATE(2027,7,1)&gt;=DATE(YEAR('Model inputs'!B257),MONTH('Model inputs'!B257),1)))),'Model inputs'!B283/12,0)</f>
        <v>2000</v>
      </c>
      <c r="V205" s="9">
        <f>IF(IF(IF(ISERROR(DATE(2027,8,1)&gt;=DATE(YEAR('Model inputs'!B257),MONTH('Model inputs'!B257),1)),DATE(2027,8,1)&gt;=DATE(YEAR('Model inputs'!B257),MONTH('Model inputs'!B257),1),IF(DATE(YEAR('Model inputs'!B257),MONTH('Model inputs'!B257),1)="","",DATE(2027,8,1)&gt;=DATE(YEAR('Model inputs'!B257),MONTH('Model inputs'!B257),1)))="",FALSE,IF(ISERROR(DATE(2027,8,1)&gt;=DATE(YEAR('Model inputs'!B257),MONTH('Model inputs'!B257),1)),DATE(2027,8,1)&gt;=DATE(YEAR('Model inputs'!B257),MONTH('Model inputs'!B257),1),IF(DATE(YEAR('Model inputs'!B257),MONTH('Model inputs'!B257),1)="","",DATE(2027,8,1)&gt;=DATE(YEAR('Model inputs'!B257),MONTH('Model inputs'!B257),1)))),'Model inputs'!B283/12,0)</f>
        <v>2000</v>
      </c>
      <c r="W205" s="9">
        <f>IF(IF(IF(ISERROR(DATE(2027,9,1)&gt;=DATE(YEAR('Model inputs'!B257),MONTH('Model inputs'!B257),1)),DATE(2027,9,1)&gt;=DATE(YEAR('Model inputs'!B257),MONTH('Model inputs'!B257),1),IF(DATE(YEAR('Model inputs'!B257),MONTH('Model inputs'!B257),1)="","",DATE(2027,9,1)&gt;=DATE(YEAR('Model inputs'!B257),MONTH('Model inputs'!B257),1)))="",FALSE,IF(ISERROR(DATE(2027,9,1)&gt;=DATE(YEAR('Model inputs'!B257),MONTH('Model inputs'!B257),1)),DATE(2027,9,1)&gt;=DATE(YEAR('Model inputs'!B257),MONTH('Model inputs'!B257),1),IF(DATE(YEAR('Model inputs'!B257),MONTH('Model inputs'!B257),1)="","",DATE(2027,9,1)&gt;=DATE(YEAR('Model inputs'!B257),MONTH('Model inputs'!B257),1)))),'Model inputs'!B283/12,0)</f>
        <v>2000</v>
      </c>
      <c r="X205" s="9">
        <f>IF(IF(IF(ISERROR(DATE(2027,10,1)&gt;=DATE(YEAR('Model inputs'!B257),MONTH('Model inputs'!B257),1)),DATE(2027,10,1)&gt;=DATE(YEAR('Model inputs'!B257),MONTH('Model inputs'!B257),1),IF(DATE(YEAR('Model inputs'!B257),MONTH('Model inputs'!B257),1)="","",DATE(2027,10,1)&gt;=DATE(YEAR('Model inputs'!B257),MONTH('Model inputs'!B257),1)))="",FALSE,IF(ISERROR(DATE(2027,10,1)&gt;=DATE(YEAR('Model inputs'!B257),MONTH('Model inputs'!B257),1)),DATE(2027,10,1)&gt;=DATE(YEAR('Model inputs'!B257),MONTH('Model inputs'!B257),1),IF(DATE(YEAR('Model inputs'!B257),MONTH('Model inputs'!B257),1)="","",DATE(2027,10,1)&gt;=DATE(YEAR('Model inputs'!B257),MONTH('Model inputs'!B257),1)))),'Model inputs'!B283/12,0)</f>
        <v>2000</v>
      </c>
      <c r="Y205" s="9">
        <f>IF(IF(IF(ISERROR(DATE(2027,11,1)&gt;=DATE(YEAR('Model inputs'!B257),MONTH('Model inputs'!B257),1)),DATE(2027,11,1)&gt;=DATE(YEAR('Model inputs'!B257),MONTH('Model inputs'!B257),1),IF(DATE(YEAR('Model inputs'!B257),MONTH('Model inputs'!B257),1)="","",DATE(2027,11,1)&gt;=DATE(YEAR('Model inputs'!B257),MONTH('Model inputs'!B257),1)))="",FALSE,IF(ISERROR(DATE(2027,11,1)&gt;=DATE(YEAR('Model inputs'!B257),MONTH('Model inputs'!B257),1)),DATE(2027,11,1)&gt;=DATE(YEAR('Model inputs'!B257),MONTH('Model inputs'!B257),1),IF(DATE(YEAR('Model inputs'!B257),MONTH('Model inputs'!B257),1)="","",DATE(2027,11,1)&gt;=DATE(YEAR('Model inputs'!B257),MONTH('Model inputs'!B257),1)))),'Model inputs'!B283/12,0)</f>
        <v>2000</v>
      </c>
      <c r="Z205" s="9">
        <f>IF(IF(IF(ISERROR(DATE(2027,12,1)&gt;=DATE(YEAR('Model inputs'!B257),MONTH('Model inputs'!B257),1)),DATE(2027,12,1)&gt;=DATE(YEAR('Model inputs'!B257),MONTH('Model inputs'!B257),1),IF(DATE(YEAR('Model inputs'!B257),MONTH('Model inputs'!B257),1)="","",DATE(2027,12,1)&gt;=DATE(YEAR('Model inputs'!B257),MONTH('Model inputs'!B257),1)))="",FALSE,IF(ISERROR(DATE(2027,12,1)&gt;=DATE(YEAR('Model inputs'!B257),MONTH('Model inputs'!B257),1)),DATE(2027,12,1)&gt;=DATE(YEAR('Model inputs'!B257),MONTH('Model inputs'!B257),1),IF(DATE(YEAR('Model inputs'!B257),MONTH('Model inputs'!B257),1)="","",DATE(2027,12,1)&gt;=DATE(YEAR('Model inputs'!B257),MONTH('Model inputs'!B257),1)))),'Model inputs'!B283/12,0)</f>
        <v>2000</v>
      </c>
      <c r="AA205" s="9">
        <f>IF(IF(IF(ISERROR(DATE(2028,1,1)&gt;=DATE(YEAR('Model inputs'!B257),MONTH('Model inputs'!B257),1)),DATE(2028,1,1)&gt;=DATE(YEAR('Model inputs'!B257),MONTH('Model inputs'!B257),1),IF(DATE(YEAR('Model inputs'!B257),MONTH('Model inputs'!B257),1)="","",DATE(2028,1,1)&gt;=DATE(YEAR('Model inputs'!B257),MONTH('Model inputs'!B257),1)))="",FALSE,IF(ISERROR(DATE(2028,1,1)&gt;=DATE(YEAR('Model inputs'!B257),MONTH('Model inputs'!B257),1)),DATE(2028,1,1)&gt;=DATE(YEAR('Model inputs'!B257),MONTH('Model inputs'!B257),1),IF(DATE(YEAR('Model inputs'!B257),MONTH('Model inputs'!B257),1)="","",DATE(2028,1,1)&gt;=DATE(YEAR('Model inputs'!B257),MONTH('Model inputs'!B257),1)))),'Model inputs'!B283/12,0)</f>
        <v>2000</v>
      </c>
      <c r="AB205" s="9">
        <f>IF(IF(IF(ISERROR(DATE(2028,2,1)&gt;=DATE(YEAR('Model inputs'!B257),MONTH('Model inputs'!B257),1)),DATE(2028,2,1)&gt;=DATE(YEAR('Model inputs'!B257),MONTH('Model inputs'!B257),1),IF(DATE(YEAR('Model inputs'!B257),MONTH('Model inputs'!B257),1)="","",DATE(2028,2,1)&gt;=DATE(YEAR('Model inputs'!B257),MONTH('Model inputs'!B257),1)))="",FALSE,IF(ISERROR(DATE(2028,2,1)&gt;=DATE(YEAR('Model inputs'!B257),MONTH('Model inputs'!B257),1)),DATE(2028,2,1)&gt;=DATE(YEAR('Model inputs'!B257),MONTH('Model inputs'!B257),1),IF(DATE(YEAR('Model inputs'!B257),MONTH('Model inputs'!B257),1)="","",DATE(2028,2,1)&gt;=DATE(YEAR('Model inputs'!B257),MONTH('Model inputs'!B257),1)))),'Model inputs'!B283/12,0)</f>
        <v>2000</v>
      </c>
      <c r="AC205" s="9">
        <f>IF(IF(IF(ISERROR(DATE(2028,3,1)&gt;=DATE(YEAR('Model inputs'!B257),MONTH('Model inputs'!B257),1)),DATE(2028,3,1)&gt;=DATE(YEAR('Model inputs'!B257),MONTH('Model inputs'!B257),1),IF(DATE(YEAR('Model inputs'!B257),MONTH('Model inputs'!B257),1)="","",DATE(2028,3,1)&gt;=DATE(YEAR('Model inputs'!B257),MONTH('Model inputs'!B257),1)))="",FALSE,IF(ISERROR(DATE(2028,3,1)&gt;=DATE(YEAR('Model inputs'!B257),MONTH('Model inputs'!B257),1)),DATE(2028,3,1)&gt;=DATE(YEAR('Model inputs'!B257),MONTH('Model inputs'!B257),1),IF(DATE(YEAR('Model inputs'!B257),MONTH('Model inputs'!B257),1)="","",DATE(2028,3,1)&gt;=DATE(YEAR('Model inputs'!B257),MONTH('Model inputs'!B257),1)))),'Model inputs'!B283/12,0)</f>
        <v>2000</v>
      </c>
      <c r="AD205" s="9">
        <f>IF(IF(IF(ISERROR(DATE(2028,4,1)&gt;=DATE(YEAR('Model inputs'!B257),MONTH('Model inputs'!B257),1)),DATE(2028,4,1)&gt;=DATE(YEAR('Model inputs'!B257),MONTH('Model inputs'!B257),1),IF(DATE(YEAR('Model inputs'!B257),MONTH('Model inputs'!B257),1)="","",DATE(2028,4,1)&gt;=DATE(YEAR('Model inputs'!B257),MONTH('Model inputs'!B257),1)))="",FALSE,IF(ISERROR(DATE(2028,4,1)&gt;=DATE(YEAR('Model inputs'!B257),MONTH('Model inputs'!B257),1)),DATE(2028,4,1)&gt;=DATE(YEAR('Model inputs'!B257),MONTH('Model inputs'!B257),1),IF(DATE(YEAR('Model inputs'!B257),MONTH('Model inputs'!B257),1)="","",DATE(2028,4,1)&gt;=DATE(YEAR('Model inputs'!B257),MONTH('Model inputs'!B257),1)))),'Model inputs'!B283/12,0)</f>
        <v>2000</v>
      </c>
      <c r="AE205" s="9">
        <f>IF(IF(IF(ISERROR(DATE(2028,5,1)&gt;=DATE(YEAR('Model inputs'!B257),MONTH('Model inputs'!B257),1)),DATE(2028,5,1)&gt;=DATE(YEAR('Model inputs'!B257),MONTH('Model inputs'!B257),1),IF(DATE(YEAR('Model inputs'!B257),MONTH('Model inputs'!B257),1)="","",DATE(2028,5,1)&gt;=DATE(YEAR('Model inputs'!B257),MONTH('Model inputs'!B257),1)))="",FALSE,IF(ISERROR(DATE(2028,5,1)&gt;=DATE(YEAR('Model inputs'!B257),MONTH('Model inputs'!B257),1)),DATE(2028,5,1)&gt;=DATE(YEAR('Model inputs'!B257),MONTH('Model inputs'!B257),1),IF(DATE(YEAR('Model inputs'!B257),MONTH('Model inputs'!B257),1)="","",DATE(2028,5,1)&gt;=DATE(YEAR('Model inputs'!B257),MONTH('Model inputs'!B257),1)))),'Model inputs'!B283/12,0)</f>
        <v>2000</v>
      </c>
      <c r="AF205" s="9">
        <f>IF(IF(IF(ISERROR(DATE(2028,6,1)&gt;=DATE(YEAR('Model inputs'!B257),MONTH('Model inputs'!B257),1)),DATE(2028,6,1)&gt;=DATE(YEAR('Model inputs'!B257),MONTH('Model inputs'!B257),1),IF(DATE(YEAR('Model inputs'!B257),MONTH('Model inputs'!B257),1)="","",DATE(2028,6,1)&gt;=DATE(YEAR('Model inputs'!B257),MONTH('Model inputs'!B257),1)))="",FALSE,IF(ISERROR(DATE(2028,6,1)&gt;=DATE(YEAR('Model inputs'!B257),MONTH('Model inputs'!B257),1)),DATE(2028,6,1)&gt;=DATE(YEAR('Model inputs'!B257),MONTH('Model inputs'!B257),1),IF(DATE(YEAR('Model inputs'!B257),MONTH('Model inputs'!B257),1)="","",DATE(2028,6,1)&gt;=DATE(YEAR('Model inputs'!B257),MONTH('Model inputs'!B257),1)))),'Model inputs'!B283/12,0)</f>
        <v>2000</v>
      </c>
      <c r="AG205" s="9">
        <f>IF(IF(IF(ISERROR(DATE(2028,7,1)&gt;=DATE(YEAR('Model inputs'!B257),MONTH('Model inputs'!B257),1)),DATE(2028,7,1)&gt;=DATE(YEAR('Model inputs'!B257),MONTH('Model inputs'!B257),1),IF(DATE(YEAR('Model inputs'!B257),MONTH('Model inputs'!B257),1)="","",DATE(2028,7,1)&gt;=DATE(YEAR('Model inputs'!B257),MONTH('Model inputs'!B257),1)))="",FALSE,IF(ISERROR(DATE(2028,7,1)&gt;=DATE(YEAR('Model inputs'!B257),MONTH('Model inputs'!B257),1)),DATE(2028,7,1)&gt;=DATE(YEAR('Model inputs'!B257),MONTH('Model inputs'!B257),1),IF(DATE(YEAR('Model inputs'!B257),MONTH('Model inputs'!B257),1)="","",DATE(2028,7,1)&gt;=DATE(YEAR('Model inputs'!B257),MONTH('Model inputs'!B257),1)))),'Model inputs'!B283/12,0)</f>
        <v>2000</v>
      </c>
      <c r="AH205" s="9">
        <f>IF(IF(IF(ISERROR(DATE(2028,8,1)&gt;=DATE(YEAR('Model inputs'!B257),MONTH('Model inputs'!B257),1)),DATE(2028,8,1)&gt;=DATE(YEAR('Model inputs'!B257),MONTH('Model inputs'!B257),1),IF(DATE(YEAR('Model inputs'!B257),MONTH('Model inputs'!B257),1)="","",DATE(2028,8,1)&gt;=DATE(YEAR('Model inputs'!B257),MONTH('Model inputs'!B257),1)))="",FALSE,IF(ISERROR(DATE(2028,8,1)&gt;=DATE(YEAR('Model inputs'!B257),MONTH('Model inputs'!B257),1)),DATE(2028,8,1)&gt;=DATE(YEAR('Model inputs'!B257),MONTH('Model inputs'!B257),1),IF(DATE(YEAR('Model inputs'!B257),MONTH('Model inputs'!B257),1)="","",DATE(2028,8,1)&gt;=DATE(YEAR('Model inputs'!B257),MONTH('Model inputs'!B257),1)))),'Model inputs'!B283/12,0)</f>
        <v>2000</v>
      </c>
      <c r="AI205" s="9">
        <f>IF(IF(IF(ISERROR(DATE(2028,9,1)&gt;=DATE(YEAR('Model inputs'!B257),MONTH('Model inputs'!B257),1)),DATE(2028,9,1)&gt;=DATE(YEAR('Model inputs'!B257),MONTH('Model inputs'!B257),1),IF(DATE(YEAR('Model inputs'!B257),MONTH('Model inputs'!B257),1)="","",DATE(2028,9,1)&gt;=DATE(YEAR('Model inputs'!B257),MONTH('Model inputs'!B257),1)))="",FALSE,IF(ISERROR(DATE(2028,9,1)&gt;=DATE(YEAR('Model inputs'!B257),MONTH('Model inputs'!B257),1)),DATE(2028,9,1)&gt;=DATE(YEAR('Model inputs'!B257),MONTH('Model inputs'!B257),1),IF(DATE(YEAR('Model inputs'!B257),MONTH('Model inputs'!B257),1)="","",DATE(2028,9,1)&gt;=DATE(YEAR('Model inputs'!B257),MONTH('Model inputs'!B257),1)))),'Model inputs'!B283/12,0)</f>
        <v>2000</v>
      </c>
    </row>
    <row r="206">
      <c r="A206" t="inlineStr" s="22">
        <is>
          <t xml:space="preserve">Founder payroll</t>
        </is>
      </c>
      <c r="C206" s="6">
        <f>IF('Model inputs'!C158="","",'Model inputs'!C158)</f>
        <v>0</v>
      </c>
      <c r="D206" s="6">
        <f>IF('Model inputs'!D158="","",'Model inputs'!D158)</f>
        <v>0</v>
      </c>
      <c r="E206" s="6">
        <f>IF('Model inputs'!E158="","",'Model inputs'!E158)</f>
        <v>0</v>
      </c>
      <c r="F206" s="6">
        <f>IF('Model inputs'!F158="","",'Model inputs'!F158)</f>
        <v>0</v>
      </c>
      <c r="G206" s="6">
        <f>IF('Model inputs'!G158="","",'Model inputs'!G158)</f>
        <v>0</v>
      </c>
      <c r="H206" s="6">
        <f>IF('Model inputs'!H158="","",'Model inputs'!H158)</f>
        <v>0</v>
      </c>
      <c r="I206" s="6">
        <f>IF('Model inputs'!I158="","",'Model inputs'!I158)</f>
        <v>0</v>
      </c>
      <c r="J206" s="6">
        <f>IF('Model inputs'!J158="","",'Model inputs'!J158)</f>
        <v>0</v>
      </c>
      <c r="K206" s="6">
        <f>IF('Model inputs'!K158="","",'Model inputs'!K158)</f>
        <v>0</v>
      </c>
      <c r="L206" s="6">
        <f>IF('Model inputs'!L158="","",'Model inputs'!L158)</f>
        <v>0</v>
      </c>
      <c r="M206" s="6">
        <f>IF('Model inputs'!M158="","",'Model inputs'!M158)</f>
        <v>0</v>
      </c>
      <c r="N206" s="6">
        <f>IF('Model inputs'!N158="","",'Model inputs'!N158)</f>
        <v>0</v>
      </c>
      <c r="O206" s="6">
        <f>IF('Model inputs'!O158="","",'Model inputs'!O158)</f>
        <v>2000</v>
      </c>
      <c r="P206" s="6">
        <f>IF('Model inputs'!P158="","",'Model inputs'!P158)</f>
        <v>2000</v>
      </c>
      <c r="Q206" s="6">
        <f>IF('Model inputs'!Q158="","",'Model inputs'!Q158)</f>
        <v>2000</v>
      </c>
      <c r="R206" s="6">
        <f>IF('Model inputs'!R158="","",'Model inputs'!R158)</f>
        <v>2000</v>
      </c>
      <c r="S206" s="6">
        <f>IF('Model inputs'!S158="","",'Model inputs'!S158)</f>
        <v>2000</v>
      </c>
      <c r="T206" s="6">
        <f>IF('Model inputs'!T158="","",'Model inputs'!T158)</f>
        <v>2000</v>
      </c>
      <c r="U206" s="6">
        <f>IF('Model inputs'!U158="","",'Model inputs'!U158)</f>
        <v>2000</v>
      </c>
      <c r="V206" s="6">
        <f>IF('Model inputs'!V158="","",'Model inputs'!V158)</f>
        <v>2000</v>
      </c>
      <c r="W206" s="6">
        <f>IF('Model inputs'!W158="","",'Model inputs'!W158)</f>
        <v>2000</v>
      </c>
      <c r="X206" s="6">
        <f>IF('Model inputs'!X158="","",'Model inputs'!X158)</f>
        <v>2000</v>
      </c>
      <c r="Y206" s="6">
        <f>IF('Model inputs'!Y158="","",'Model inputs'!Y158)</f>
        <v>2000</v>
      </c>
      <c r="Z206" s="6">
        <f>IF('Model inputs'!Z158="","",'Model inputs'!Z158)</f>
        <v>2000</v>
      </c>
      <c r="AA206" s="6">
        <f>IF('Model inputs'!AA158="","",'Model inputs'!AA158)</f>
        <v>2000</v>
      </c>
      <c r="AB206" s="6">
        <f>IF('Model inputs'!AB158="","",'Model inputs'!AB158)</f>
        <v>2000</v>
      </c>
      <c r="AC206" s="6">
        <f>IF('Model inputs'!AC158="","",'Model inputs'!AC158)</f>
        <v>2000</v>
      </c>
      <c r="AD206" s="6">
        <f>IF('Model inputs'!AD158="","",'Model inputs'!AD158)</f>
        <v>2000</v>
      </c>
      <c r="AE206" s="6">
        <f>IF('Model inputs'!AE158="","",'Model inputs'!AE158)</f>
        <v>2000</v>
      </c>
      <c r="AF206" s="6">
        <f>IF('Model inputs'!AF158="","",'Model inputs'!AF158)</f>
        <v>2000</v>
      </c>
      <c r="AG206" s="6">
        <f>IF('Model inputs'!AG158="","",'Model inputs'!AG158)</f>
        <v>2000</v>
      </c>
      <c r="AH206" s="6">
        <f>IF('Model inputs'!AH158="","",'Model inputs'!AH158)</f>
        <v>2000</v>
      </c>
      <c r="AI206" s="6">
        <f>IF('Model inputs'!AI158="","",'Model inputs'!AI158)</f>
        <v>2000</v>
      </c>
    </row>
    <row r="207" outlineLevel="1">
      <c r="A207" t="inlineStr" s="23">
        <is>
          <t xml:space="preserve">Founder payroll &gt; Placeholder founder 1</t>
        </is>
      </c>
      <c r="C207" s="9">
        <f>'Model inputs'!C136</f>
        <v>0</v>
      </c>
      <c r="D207" s="9">
        <f>'Model inputs'!D136</f>
        <v>0</v>
      </c>
      <c r="E207" s="9">
        <f>'Model inputs'!E136</f>
        <v>0</v>
      </c>
      <c r="F207" s="9">
        <f>'Model inputs'!F136</f>
        <v>0</v>
      </c>
      <c r="G207" s="9">
        <f>'Model inputs'!G136</f>
        <v>0</v>
      </c>
      <c r="H207" s="9">
        <f>'Model inputs'!H136</f>
        <v>0</v>
      </c>
      <c r="I207" s="9">
        <f>'Model inputs'!I136</f>
        <v>0</v>
      </c>
      <c r="J207" s="9">
        <f>'Model inputs'!J136</f>
        <v>0</v>
      </c>
      <c r="K207" s="9">
        <f>'SwapDesk — Financials · Founder'!B6</f>
        <v>0</v>
      </c>
      <c r="L207" s="9">
        <f>IF(IF(IF(ISERROR(DATE(2026,10,1)&gt;=DATE(YEAR('Model inputs'!B259),MONTH('Model inputs'!B259),1)),DATE(2026,10,1)&gt;=DATE(YEAR('Model inputs'!B259),MONTH('Model inputs'!B259),1),IF(DATE(YEAR('Model inputs'!B259),MONTH('Model inputs'!B259),1)="","",DATE(2026,10,1)&gt;=DATE(YEAR('Model inputs'!B259),MONTH('Model inputs'!B259),1)))="",FALSE,IF(ISERROR(DATE(2026,10,1)&gt;=DATE(YEAR('Model inputs'!B259),MONTH('Model inputs'!B259),1)),DATE(2026,10,1)&gt;=DATE(YEAR('Model inputs'!B259),MONTH('Model inputs'!B259),1),IF(DATE(YEAR('Model inputs'!B259),MONTH('Model inputs'!B259),1)="","",DATE(2026,10,1)&gt;=DATE(YEAR('Model inputs'!B259),MONTH('Model inputs'!B259),1)))),'Model inputs'!B285/12,0)</f>
        <v>0</v>
      </c>
      <c r="M207" s="9">
        <f>IF(IF(IF(ISERROR(DATE(2026,11,1)&gt;=DATE(YEAR('Model inputs'!B259),MONTH('Model inputs'!B259),1)),DATE(2026,11,1)&gt;=DATE(YEAR('Model inputs'!B259),MONTH('Model inputs'!B259),1),IF(DATE(YEAR('Model inputs'!B259),MONTH('Model inputs'!B259),1)="","",DATE(2026,11,1)&gt;=DATE(YEAR('Model inputs'!B259),MONTH('Model inputs'!B259),1)))="",FALSE,IF(ISERROR(DATE(2026,11,1)&gt;=DATE(YEAR('Model inputs'!B259),MONTH('Model inputs'!B259),1)),DATE(2026,11,1)&gt;=DATE(YEAR('Model inputs'!B259),MONTH('Model inputs'!B259),1),IF(DATE(YEAR('Model inputs'!B259),MONTH('Model inputs'!B259),1)="","",DATE(2026,11,1)&gt;=DATE(YEAR('Model inputs'!B259),MONTH('Model inputs'!B259),1)))),'Model inputs'!B285/12,0)</f>
        <v>0</v>
      </c>
      <c r="N207" s="9">
        <f>IF(IF(IF(ISERROR(DATE(2026,12,1)&gt;=DATE(YEAR('Model inputs'!B259),MONTH('Model inputs'!B259),1)),DATE(2026,12,1)&gt;=DATE(YEAR('Model inputs'!B259),MONTH('Model inputs'!B259),1),IF(DATE(YEAR('Model inputs'!B259),MONTH('Model inputs'!B259),1)="","",DATE(2026,12,1)&gt;=DATE(YEAR('Model inputs'!B259),MONTH('Model inputs'!B259),1)))="",FALSE,IF(ISERROR(DATE(2026,12,1)&gt;=DATE(YEAR('Model inputs'!B259),MONTH('Model inputs'!B259),1)),DATE(2026,12,1)&gt;=DATE(YEAR('Model inputs'!B259),MONTH('Model inputs'!B259),1),IF(DATE(YEAR('Model inputs'!B259),MONTH('Model inputs'!B259),1)="","",DATE(2026,12,1)&gt;=DATE(YEAR('Model inputs'!B259),MONTH('Model inputs'!B259),1)))),'Model inputs'!B285/12,0)</f>
        <v>0</v>
      </c>
      <c r="O207" s="9">
        <f>IF(IF(IF(ISERROR(DATE(2027,1,1)&gt;=DATE(YEAR('Model inputs'!B259),MONTH('Model inputs'!B259),1)),DATE(2027,1,1)&gt;=DATE(YEAR('Model inputs'!B259),MONTH('Model inputs'!B259),1),IF(DATE(YEAR('Model inputs'!B259),MONTH('Model inputs'!B259),1)="","",DATE(2027,1,1)&gt;=DATE(YEAR('Model inputs'!B259),MONTH('Model inputs'!B259),1)))="",FALSE,IF(ISERROR(DATE(2027,1,1)&gt;=DATE(YEAR('Model inputs'!B259),MONTH('Model inputs'!B259),1)),DATE(2027,1,1)&gt;=DATE(YEAR('Model inputs'!B259),MONTH('Model inputs'!B259),1),IF(DATE(YEAR('Model inputs'!B259),MONTH('Model inputs'!B259),1)="","",DATE(2027,1,1)&gt;=DATE(YEAR('Model inputs'!B259),MONTH('Model inputs'!B259),1)))),'Model inputs'!B285/12,0)</f>
        <v>2000</v>
      </c>
      <c r="P207" s="9">
        <f>IF(IF(IF(ISERROR(DATE(2027,2,1)&gt;=DATE(YEAR('Model inputs'!B259),MONTH('Model inputs'!B259),1)),DATE(2027,2,1)&gt;=DATE(YEAR('Model inputs'!B259),MONTH('Model inputs'!B259),1),IF(DATE(YEAR('Model inputs'!B259),MONTH('Model inputs'!B259),1)="","",DATE(2027,2,1)&gt;=DATE(YEAR('Model inputs'!B259),MONTH('Model inputs'!B259),1)))="",FALSE,IF(ISERROR(DATE(2027,2,1)&gt;=DATE(YEAR('Model inputs'!B259),MONTH('Model inputs'!B259),1)),DATE(2027,2,1)&gt;=DATE(YEAR('Model inputs'!B259),MONTH('Model inputs'!B259),1),IF(DATE(YEAR('Model inputs'!B259),MONTH('Model inputs'!B259),1)="","",DATE(2027,2,1)&gt;=DATE(YEAR('Model inputs'!B259),MONTH('Model inputs'!B259),1)))),'Model inputs'!B285/12,0)</f>
        <v>2000</v>
      </c>
      <c r="Q207" s="9">
        <f>IF(IF(IF(ISERROR(DATE(2027,3,1)&gt;=DATE(YEAR('Model inputs'!B259),MONTH('Model inputs'!B259),1)),DATE(2027,3,1)&gt;=DATE(YEAR('Model inputs'!B259),MONTH('Model inputs'!B259),1),IF(DATE(YEAR('Model inputs'!B259),MONTH('Model inputs'!B259),1)="","",DATE(2027,3,1)&gt;=DATE(YEAR('Model inputs'!B259),MONTH('Model inputs'!B259),1)))="",FALSE,IF(ISERROR(DATE(2027,3,1)&gt;=DATE(YEAR('Model inputs'!B259),MONTH('Model inputs'!B259),1)),DATE(2027,3,1)&gt;=DATE(YEAR('Model inputs'!B259),MONTH('Model inputs'!B259),1),IF(DATE(YEAR('Model inputs'!B259),MONTH('Model inputs'!B259),1)="","",DATE(2027,3,1)&gt;=DATE(YEAR('Model inputs'!B259),MONTH('Model inputs'!B259),1)))),'Model inputs'!B285/12,0)</f>
        <v>2000</v>
      </c>
      <c r="R207" s="9">
        <f>IF(IF(IF(ISERROR(DATE(2027,4,1)&gt;=DATE(YEAR('Model inputs'!B259),MONTH('Model inputs'!B259),1)),DATE(2027,4,1)&gt;=DATE(YEAR('Model inputs'!B259),MONTH('Model inputs'!B259),1),IF(DATE(YEAR('Model inputs'!B259),MONTH('Model inputs'!B259),1)="","",DATE(2027,4,1)&gt;=DATE(YEAR('Model inputs'!B259),MONTH('Model inputs'!B259),1)))="",FALSE,IF(ISERROR(DATE(2027,4,1)&gt;=DATE(YEAR('Model inputs'!B259),MONTH('Model inputs'!B259),1)),DATE(2027,4,1)&gt;=DATE(YEAR('Model inputs'!B259),MONTH('Model inputs'!B259),1),IF(DATE(YEAR('Model inputs'!B259),MONTH('Model inputs'!B259),1)="","",DATE(2027,4,1)&gt;=DATE(YEAR('Model inputs'!B259),MONTH('Model inputs'!B259),1)))),'Model inputs'!B285/12,0)</f>
        <v>2000</v>
      </c>
      <c r="S207" s="9">
        <f>IF(IF(IF(ISERROR(DATE(2027,5,1)&gt;=DATE(YEAR('Model inputs'!B259),MONTH('Model inputs'!B259),1)),DATE(2027,5,1)&gt;=DATE(YEAR('Model inputs'!B259),MONTH('Model inputs'!B259),1),IF(DATE(YEAR('Model inputs'!B259),MONTH('Model inputs'!B259),1)="","",DATE(2027,5,1)&gt;=DATE(YEAR('Model inputs'!B259),MONTH('Model inputs'!B259),1)))="",FALSE,IF(ISERROR(DATE(2027,5,1)&gt;=DATE(YEAR('Model inputs'!B259),MONTH('Model inputs'!B259),1)),DATE(2027,5,1)&gt;=DATE(YEAR('Model inputs'!B259),MONTH('Model inputs'!B259),1),IF(DATE(YEAR('Model inputs'!B259),MONTH('Model inputs'!B259),1)="","",DATE(2027,5,1)&gt;=DATE(YEAR('Model inputs'!B259),MONTH('Model inputs'!B259),1)))),'Model inputs'!B285/12,0)</f>
        <v>2000</v>
      </c>
      <c r="T207" s="9">
        <f>IF(IF(IF(ISERROR(DATE(2027,6,1)&gt;=DATE(YEAR('Model inputs'!B259),MONTH('Model inputs'!B259),1)),DATE(2027,6,1)&gt;=DATE(YEAR('Model inputs'!B259),MONTH('Model inputs'!B259),1),IF(DATE(YEAR('Model inputs'!B259),MONTH('Model inputs'!B259),1)="","",DATE(2027,6,1)&gt;=DATE(YEAR('Model inputs'!B259),MONTH('Model inputs'!B259),1)))="",FALSE,IF(ISERROR(DATE(2027,6,1)&gt;=DATE(YEAR('Model inputs'!B259),MONTH('Model inputs'!B259),1)),DATE(2027,6,1)&gt;=DATE(YEAR('Model inputs'!B259),MONTH('Model inputs'!B259),1),IF(DATE(YEAR('Model inputs'!B259),MONTH('Model inputs'!B259),1)="","",DATE(2027,6,1)&gt;=DATE(YEAR('Model inputs'!B259),MONTH('Model inputs'!B259),1)))),'Model inputs'!B285/12,0)</f>
        <v>2000</v>
      </c>
      <c r="U207" s="9">
        <f>IF(IF(IF(ISERROR(DATE(2027,7,1)&gt;=DATE(YEAR('Model inputs'!B259),MONTH('Model inputs'!B259),1)),DATE(2027,7,1)&gt;=DATE(YEAR('Model inputs'!B259),MONTH('Model inputs'!B259),1),IF(DATE(YEAR('Model inputs'!B259),MONTH('Model inputs'!B259),1)="","",DATE(2027,7,1)&gt;=DATE(YEAR('Model inputs'!B259),MONTH('Model inputs'!B259),1)))="",FALSE,IF(ISERROR(DATE(2027,7,1)&gt;=DATE(YEAR('Model inputs'!B259),MONTH('Model inputs'!B259),1)),DATE(2027,7,1)&gt;=DATE(YEAR('Model inputs'!B259),MONTH('Model inputs'!B259),1),IF(DATE(YEAR('Model inputs'!B259),MONTH('Model inputs'!B259),1)="","",DATE(2027,7,1)&gt;=DATE(YEAR('Model inputs'!B259),MONTH('Model inputs'!B259),1)))),'Model inputs'!B285/12,0)</f>
        <v>2000</v>
      </c>
      <c r="V207" s="9">
        <f>IF(IF(IF(ISERROR(DATE(2027,8,1)&gt;=DATE(YEAR('Model inputs'!B259),MONTH('Model inputs'!B259),1)),DATE(2027,8,1)&gt;=DATE(YEAR('Model inputs'!B259),MONTH('Model inputs'!B259),1),IF(DATE(YEAR('Model inputs'!B259),MONTH('Model inputs'!B259),1)="","",DATE(2027,8,1)&gt;=DATE(YEAR('Model inputs'!B259),MONTH('Model inputs'!B259),1)))="",FALSE,IF(ISERROR(DATE(2027,8,1)&gt;=DATE(YEAR('Model inputs'!B259),MONTH('Model inputs'!B259),1)),DATE(2027,8,1)&gt;=DATE(YEAR('Model inputs'!B259),MONTH('Model inputs'!B259),1),IF(DATE(YEAR('Model inputs'!B259),MONTH('Model inputs'!B259),1)="","",DATE(2027,8,1)&gt;=DATE(YEAR('Model inputs'!B259),MONTH('Model inputs'!B259),1)))),'Model inputs'!B285/12,0)</f>
        <v>2000</v>
      </c>
      <c r="W207" s="9">
        <f>IF(IF(IF(ISERROR(DATE(2027,9,1)&gt;=DATE(YEAR('Model inputs'!B259),MONTH('Model inputs'!B259),1)),DATE(2027,9,1)&gt;=DATE(YEAR('Model inputs'!B259),MONTH('Model inputs'!B259),1),IF(DATE(YEAR('Model inputs'!B259),MONTH('Model inputs'!B259),1)="","",DATE(2027,9,1)&gt;=DATE(YEAR('Model inputs'!B259),MONTH('Model inputs'!B259),1)))="",FALSE,IF(ISERROR(DATE(2027,9,1)&gt;=DATE(YEAR('Model inputs'!B259),MONTH('Model inputs'!B259),1)),DATE(2027,9,1)&gt;=DATE(YEAR('Model inputs'!B259),MONTH('Model inputs'!B259),1),IF(DATE(YEAR('Model inputs'!B259),MONTH('Model inputs'!B259),1)="","",DATE(2027,9,1)&gt;=DATE(YEAR('Model inputs'!B259),MONTH('Model inputs'!B259),1)))),'Model inputs'!B285/12,0)</f>
        <v>2000</v>
      </c>
      <c r="X207" s="9">
        <f>IF(IF(IF(ISERROR(DATE(2027,10,1)&gt;=DATE(YEAR('Model inputs'!B259),MONTH('Model inputs'!B259),1)),DATE(2027,10,1)&gt;=DATE(YEAR('Model inputs'!B259),MONTH('Model inputs'!B259),1),IF(DATE(YEAR('Model inputs'!B259),MONTH('Model inputs'!B259),1)="","",DATE(2027,10,1)&gt;=DATE(YEAR('Model inputs'!B259),MONTH('Model inputs'!B259),1)))="",FALSE,IF(ISERROR(DATE(2027,10,1)&gt;=DATE(YEAR('Model inputs'!B259),MONTH('Model inputs'!B259),1)),DATE(2027,10,1)&gt;=DATE(YEAR('Model inputs'!B259),MONTH('Model inputs'!B259),1),IF(DATE(YEAR('Model inputs'!B259),MONTH('Model inputs'!B259),1)="","",DATE(2027,10,1)&gt;=DATE(YEAR('Model inputs'!B259),MONTH('Model inputs'!B259),1)))),'Model inputs'!B285/12,0)</f>
        <v>2000</v>
      </c>
      <c r="Y207" s="9">
        <f>IF(IF(IF(ISERROR(DATE(2027,11,1)&gt;=DATE(YEAR('Model inputs'!B259),MONTH('Model inputs'!B259),1)),DATE(2027,11,1)&gt;=DATE(YEAR('Model inputs'!B259),MONTH('Model inputs'!B259),1),IF(DATE(YEAR('Model inputs'!B259),MONTH('Model inputs'!B259),1)="","",DATE(2027,11,1)&gt;=DATE(YEAR('Model inputs'!B259),MONTH('Model inputs'!B259),1)))="",FALSE,IF(ISERROR(DATE(2027,11,1)&gt;=DATE(YEAR('Model inputs'!B259),MONTH('Model inputs'!B259),1)),DATE(2027,11,1)&gt;=DATE(YEAR('Model inputs'!B259),MONTH('Model inputs'!B259),1),IF(DATE(YEAR('Model inputs'!B259),MONTH('Model inputs'!B259),1)="","",DATE(2027,11,1)&gt;=DATE(YEAR('Model inputs'!B259),MONTH('Model inputs'!B259),1)))),'Model inputs'!B285/12,0)</f>
        <v>2000</v>
      </c>
      <c r="Z207" s="9">
        <f>IF(IF(IF(ISERROR(DATE(2027,12,1)&gt;=DATE(YEAR('Model inputs'!B259),MONTH('Model inputs'!B259),1)),DATE(2027,12,1)&gt;=DATE(YEAR('Model inputs'!B259),MONTH('Model inputs'!B259),1),IF(DATE(YEAR('Model inputs'!B259),MONTH('Model inputs'!B259),1)="","",DATE(2027,12,1)&gt;=DATE(YEAR('Model inputs'!B259),MONTH('Model inputs'!B259),1)))="",FALSE,IF(ISERROR(DATE(2027,12,1)&gt;=DATE(YEAR('Model inputs'!B259),MONTH('Model inputs'!B259),1)),DATE(2027,12,1)&gt;=DATE(YEAR('Model inputs'!B259),MONTH('Model inputs'!B259),1),IF(DATE(YEAR('Model inputs'!B259),MONTH('Model inputs'!B259),1)="","",DATE(2027,12,1)&gt;=DATE(YEAR('Model inputs'!B259),MONTH('Model inputs'!B259),1)))),'Model inputs'!B285/12,0)</f>
        <v>2000</v>
      </c>
      <c r="AA207" s="9">
        <f>IF(IF(IF(ISERROR(DATE(2028,1,1)&gt;=DATE(YEAR('Model inputs'!B259),MONTH('Model inputs'!B259),1)),DATE(2028,1,1)&gt;=DATE(YEAR('Model inputs'!B259),MONTH('Model inputs'!B259),1),IF(DATE(YEAR('Model inputs'!B259),MONTH('Model inputs'!B259),1)="","",DATE(2028,1,1)&gt;=DATE(YEAR('Model inputs'!B259),MONTH('Model inputs'!B259),1)))="",FALSE,IF(ISERROR(DATE(2028,1,1)&gt;=DATE(YEAR('Model inputs'!B259),MONTH('Model inputs'!B259),1)),DATE(2028,1,1)&gt;=DATE(YEAR('Model inputs'!B259),MONTH('Model inputs'!B259),1),IF(DATE(YEAR('Model inputs'!B259),MONTH('Model inputs'!B259),1)="","",DATE(2028,1,1)&gt;=DATE(YEAR('Model inputs'!B259),MONTH('Model inputs'!B259),1)))),'Model inputs'!B285/12,0)</f>
        <v>2000</v>
      </c>
      <c r="AB207" s="9">
        <f>IF(IF(IF(ISERROR(DATE(2028,2,1)&gt;=DATE(YEAR('Model inputs'!B259),MONTH('Model inputs'!B259),1)),DATE(2028,2,1)&gt;=DATE(YEAR('Model inputs'!B259),MONTH('Model inputs'!B259),1),IF(DATE(YEAR('Model inputs'!B259),MONTH('Model inputs'!B259),1)="","",DATE(2028,2,1)&gt;=DATE(YEAR('Model inputs'!B259),MONTH('Model inputs'!B259),1)))="",FALSE,IF(ISERROR(DATE(2028,2,1)&gt;=DATE(YEAR('Model inputs'!B259),MONTH('Model inputs'!B259),1)),DATE(2028,2,1)&gt;=DATE(YEAR('Model inputs'!B259),MONTH('Model inputs'!B259),1),IF(DATE(YEAR('Model inputs'!B259),MONTH('Model inputs'!B259),1)="","",DATE(2028,2,1)&gt;=DATE(YEAR('Model inputs'!B259),MONTH('Model inputs'!B259),1)))),'Model inputs'!B285/12,0)</f>
        <v>2000</v>
      </c>
      <c r="AC207" s="9">
        <f>IF(IF(IF(ISERROR(DATE(2028,3,1)&gt;=DATE(YEAR('Model inputs'!B259),MONTH('Model inputs'!B259),1)),DATE(2028,3,1)&gt;=DATE(YEAR('Model inputs'!B259),MONTH('Model inputs'!B259),1),IF(DATE(YEAR('Model inputs'!B259),MONTH('Model inputs'!B259),1)="","",DATE(2028,3,1)&gt;=DATE(YEAR('Model inputs'!B259),MONTH('Model inputs'!B259),1)))="",FALSE,IF(ISERROR(DATE(2028,3,1)&gt;=DATE(YEAR('Model inputs'!B259),MONTH('Model inputs'!B259),1)),DATE(2028,3,1)&gt;=DATE(YEAR('Model inputs'!B259),MONTH('Model inputs'!B259),1),IF(DATE(YEAR('Model inputs'!B259),MONTH('Model inputs'!B259),1)="","",DATE(2028,3,1)&gt;=DATE(YEAR('Model inputs'!B259),MONTH('Model inputs'!B259),1)))),'Model inputs'!B285/12,0)</f>
        <v>2000</v>
      </c>
      <c r="AD207" s="9">
        <f>IF(IF(IF(ISERROR(DATE(2028,4,1)&gt;=DATE(YEAR('Model inputs'!B259),MONTH('Model inputs'!B259),1)),DATE(2028,4,1)&gt;=DATE(YEAR('Model inputs'!B259),MONTH('Model inputs'!B259),1),IF(DATE(YEAR('Model inputs'!B259),MONTH('Model inputs'!B259),1)="","",DATE(2028,4,1)&gt;=DATE(YEAR('Model inputs'!B259),MONTH('Model inputs'!B259),1)))="",FALSE,IF(ISERROR(DATE(2028,4,1)&gt;=DATE(YEAR('Model inputs'!B259),MONTH('Model inputs'!B259),1)),DATE(2028,4,1)&gt;=DATE(YEAR('Model inputs'!B259),MONTH('Model inputs'!B259),1),IF(DATE(YEAR('Model inputs'!B259),MONTH('Model inputs'!B259),1)="","",DATE(2028,4,1)&gt;=DATE(YEAR('Model inputs'!B259),MONTH('Model inputs'!B259),1)))),'Model inputs'!B285/12,0)</f>
        <v>2000</v>
      </c>
      <c r="AE207" s="9">
        <f>IF(IF(IF(ISERROR(DATE(2028,5,1)&gt;=DATE(YEAR('Model inputs'!B259),MONTH('Model inputs'!B259),1)),DATE(2028,5,1)&gt;=DATE(YEAR('Model inputs'!B259),MONTH('Model inputs'!B259),1),IF(DATE(YEAR('Model inputs'!B259),MONTH('Model inputs'!B259),1)="","",DATE(2028,5,1)&gt;=DATE(YEAR('Model inputs'!B259),MONTH('Model inputs'!B259),1)))="",FALSE,IF(ISERROR(DATE(2028,5,1)&gt;=DATE(YEAR('Model inputs'!B259),MONTH('Model inputs'!B259),1)),DATE(2028,5,1)&gt;=DATE(YEAR('Model inputs'!B259),MONTH('Model inputs'!B259),1),IF(DATE(YEAR('Model inputs'!B259),MONTH('Model inputs'!B259),1)="","",DATE(2028,5,1)&gt;=DATE(YEAR('Model inputs'!B259),MONTH('Model inputs'!B259),1)))),'Model inputs'!B285/12,0)</f>
        <v>2000</v>
      </c>
      <c r="AF207" s="9">
        <f>IF(IF(IF(ISERROR(DATE(2028,6,1)&gt;=DATE(YEAR('Model inputs'!B259),MONTH('Model inputs'!B259),1)),DATE(2028,6,1)&gt;=DATE(YEAR('Model inputs'!B259),MONTH('Model inputs'!B259),1),IF(DATE(YEAR('Model inputs'!B259),MONTH('Model inputs'!B259),1)="","",DATE(2028,6,1)&gt;=DATE(YEAR('Model inputs'!B259),MONTH('Model inputs'!B259),1)))="",FALSE,IF(ISERROR(DATE(2028,6,1)&gt;=DATE(YEAR('Model inputs'!B259),MONTH('Model inputs'!B259),1)),DATE(2028,6,1)&gt;=DATE(YEAR('Model inputs'!B259),MONTH('Model inputs'!B259),1),IF(DATE(YEAR('Model inputs'!B259),MONTH('Model inputs'!B259),1)="","",DATE(2028,6,1)&gt;=DATE(YEAR('Model inputs'!B259),MONTH('Model inputs'!B259),1)))),'Model inputs'!B285/12,0)</f>
        <v>2000</v>
      </c>
      <c r="AG207" s="9">
        <f>IF(IF(IF(ISERROR(DATE(2028,7,1)&gt;=DATE(YEAR('Model inputs'!B259),MONTH('Model inputs'!B259),1)),DATE(2028,7,1)&gt;=DATE(YEAR('Model inputs'!B259),MONTH('Model inputs'!B259),1),IF(DATE(YEAR('Model inputs'!B259),MONTH('Model inputs'!B259),1)="","",DATE(2028,7,1)&gt;=DATE(YEAR('Model inputs'!B259),MONTH('Model inputs'!B259),1)))="",FALSE,IF(ISERROR(DATE(2028,7,1)&gt;=DATE(YEAR('Model inputs'!B259),MONTH('Model inputs'!B259),1)),DATE(2028,7,1)&gt;=DATE(YEAR('Model inputs'!B259),MONTH('Model inputs'!B259),1),IF(DATE(YEAR('Model inputs'!B259),MONTH('Model inputs'!B259),1)="","",DATE(2028,7,1)&gt;=DATE(YEAR('Model inputs'!B259),MONTH('Model inputs'!B259),1)))),'Model inputs'!B285/12,0)</f>
        <v>2000</v>
      </c>
      <c r="AH207" s="9">
        <f>IF(IF(IF(ISERROR(DATE(2028,8,1)&gt;=DATE(YEAR('Model inputs'!B259),MONTH('Model inputs'!B259),1)),DATE(2028,8,1)&gt;=DATE(YEAR('Model inputs'!B259),MONTH('Model inputs'!B259),1),IF(DATE(YEAR('Model inputs'!B259),MONTH('Model inputs'!B259),1)="","",DATE(2028,8,1)&gt;=DATE(YEAR('Model inputs'!B259),MONTH('Model inputs'!B259),1)))="",FALSE,IF(ISERROR(DATE(2028,8,1)&gt;=DATE(YEAR('Model inputs'!B259),MONTH('Model inputs'!B259),1)),DATE(2028,8,1)&gt;=DATE(YEAR('Model inputs'!B259),MONTH('Model inputs'!B259),1),IF(DATE(YEAR('Model inputs'!B259),MONTH('Model inputs'!B259),1)="","",DATE(2028,8,1)&gt;=DATE(YEAR('Model inputs'!B259),MONTH('Model inputs'!B259),1)))),'Model inputs'!B285/12,0)</f>
        <v>2000</v>
      </c>
      <c r="AI207" s="9">
        <f>IF(IF(IF(ISERROR(DATE(2028,9,1)&gt;=DATE(YEAR('Model inputs'!B259),MONTH('Model inputs'!B259),1)),DATE(2028,9,1)&gt;=DATE(YEAR('Model inputs'!B259),MONTH('Model inputs'!B259),1),IF(DATE(YEAR('Model inputs'!B259),MONTH('Model inputs'!B259),1)="","",DATE(2028,9,1)&gt;=DATE(YEAR('Model inputs'!B259),MONTH('Model inputs'!B259),1)))="",FALSE,IF(ISERROR(DATE(2028,9,1)&gt;=DATE(YEAR('Model inputs'!B259),MONTH('Model inputs'!B259),1)),DATE(2028,9,1)&gt;=DATE(YEAR('Model inputs'!B259),MONTH('Model inputs'!B259),1),IF(DATE(YEAR('Model inputs'!B259),MONTH('Model inputs'!B259),1)="","",DATE(2028,9,1)&gt;=DATE(YEAR('Model inputs'!B259),MONTH('Model inputs'!B259),1)))),'Model inputs'!B285/12,0)</f>
        <v>2000</v>
      </c>
    </row>
    <row r="208">
      <c r="A208" t="inlineStr" s="22">
        <is>
          <t xml:space="preserve">Included resolutions · Overage revenue · Bad Reliability · Bad Reliability</t>
        </is>
      </c>
      <c r="B208" s="8">
        <f>'SwapDesk — Assumptions · Commer'!B6</f>
        <v>100</v>
      </c>
    </row>
    <row r="209">
      <c r="A209" t="inlineStr" s="22">
        <is>
          <t xml:space="preserve">Included resolutions · Overage revenue · Growth · Growth</t>
        </is>
      </c>
      <c r="B209" s="8">
        <f>'SwapDesk — Assumptions · Commer'!B6</f>
        <v>100</v>
      </c>
    </row>
    <row r="210">
      <c r="A210" t="inlineStr" s="22">
        <is>
          <t xml:space="preserve">Inference cost</t>
        </is>
      </c>
      <c r="C210" s="6">
        <f>IF('Model inputs'!C159="","",'Model inputs'!C159)</f>
        <v>0</v>
      </c>
      <c r="D210" s="6">
        <f>IF('Model inputs'!D159="","",'Model inputs'!D159)</f>
        <v>0</v>
      </c>
      <c r="E210" s="6">
        <f>IF('Model inputs'!E159="","",'Model inputs'!E159)</f>
        <v>0</v>
      </c>
      <c r="F210" s="6">
        <f>IF('Model inputs'!F159="","",'Model inputs'!F159)</f>
        <v>0</v>
      </c>
      <c r="G210" s="6">
        <f>IF('Model inputs'!G159="","",'Model inputs'!G159)</f>
        <v>0</v>
      </c>
      <c r="H210" s="6">
        <f>IF('Model inputs'!H159="","",'Model inputs'!H159)</f>
        <v>0</v>
      </c>
      <c r="I210" s="6">
        <f>IF('Model inputs'!I159="","",'Model inputs'!I159)</f>
        <v>0</v>
      </c>
      <c r="J210" s="6">
        <f>IF('Model inputs'!J159="","",'Model inputs'!J159)</f>
        <v>0</v>
      </c>
      <c r="K210" s="6">
        <f>IF('Model inputs'!K159="","",'Model inputs'!K159)</f>
        <v>0</v>
      </c>
      <c r="L210" s="6">
        <f>IF('Model inputs'!L159="","",'Model inputs'!L159)</f>
        <v>78.912</v>
      </c>
      <c r="M210" s="6">
        <f>IF('Model inputs'!M159="","",'Model inputs'!M159)</f>
        <v>89.99807999999999</v>
      </c>
      <c r="N210" s="6">
        <f>IF('Model inputs'!N159="","",'Model inputs'!N159)</f>
        <v>100.4919552</v>
      </c>
      <c r="O210" s="6">
        <f>IF('Model inputs'!O159="","",'Model inputs'!O159)</f>
        <v>110.42550988800001</v>
      </c>
      <c r="P210" s="6">
        <f>IF('Model inputs'!P159="","",'Model inputs'!P159)</f>
        <v>119.82889769472001</v>
      </c>
      <c r="Q210" s="6">
        <f>IF('Model inputs'!Q159="","",'Model inputs'!Q159)</f>
        <v>128.7306363130368</v>
      </c>
      <c r="R210" s="6">
        <f>IF('Model inputs'!R159="","",'Model inputs'!R159)</f>
        <v>137.15769699025458</v>
      </c>
      <c r="S210" s="6">
        <f>IF('Model inputs'!S159="","",'Model inputs'!S159)</f>
        <v>145.13558908403928</v>
      </c>
      <c r="T210" s="6">
        <f>IF('Model inputs'!T159="","",'Model inputs'!T159)</f>
        <v>152.68843995653694</v>
      </c>
      <c r="U210" s="6">
        <f>IF('Model inputs'!U159="","",'Model inputs'!U159)</f>
        <v>159.83907046580774</v>
      </c>
      <c r="V210" s="6">
        <f>IF('Model inputs'!V159="","",'Model inputs'!V159)</f>
        <v>166.60906629918912</v>
      </c>
      <c r="W210" s="6">
        <f>IF('Model inputs'!W159="","",'Model inputs'!W159)</f>
        <v>173.0188453795011</v>
      </c>
      <c r="X210" s="6">
        <f>IF('Model inputs'!X159="","",'Model inputs'!X159)</f>
        <v>179.08772156208124</v>
      </c>
      <c r="Y210" s="6">
        <f>IF('Model inputs'!Y159="","",'Model inputs'!Y159)</f>
        <v>184.83396482843904</v>
      </c>
      <c r="Z210" s="6">
        <f>IF('Model inputs'!Z159="","",'Model inputs'!Z159)</f>
        <v>190.27485817081126</v>
      </c>
      <c r="AA210" s="6">
        <f>IF('Model inputs'!AA159="","",'Model inputs'!AA159)</f>
        <v>195.42675135103724</v>
      </c>
      <c r="AB210" s="6">
        <f>IF('Model inputs'!AB159="","",'Model inputs'!AB159)</f>
        <v>200.30511170692586</v>
      </c>
      <c r="AC210" s="6">
        <f>IF('Model inputs'!AC159="","",'Model inputs'!AC159)</f>
        <v>204.92457216961364</v>
      </c>
      <c r="AD210" s="6">
        <f>IF('Model inputs'!AD159="","",'Model inputs'!AD159)</f>
        <v>209.29897664628498</v>
      </c>
      <c r="AE210" s="6">
        <f>IF('Model inputs'!AE159="","",'Model inputs'!AE159)</f>
        <v>213.44142291401369</v>
      </c>
      <c r="AF210" s="6">
        <f>IF('Model inputs'!AF159="","",'Model inputs'!AF159)</f>
        <v>217.36430316235334</v>
      </c>
      <c r="AG210" s="6">
        <f>IF('Model inputs'!AG159="","",'Model inputs'!AG159)</f>
        <v>221.07934231463358</v>
      </c>
      <c r="AH210" s="6">
        <f>IF('Model inputs'!AH159="","",'Model inputs'!AH159)</f>
        <v>224.59763425067595</v>
      </c>
      <c r="AI210" s="6">
        <f>IF('Model inputs'!AI159="","",'Model inputs'!AI159)</f>
        <v>227.9296760468098</v>
      </c>
    </row>
    <row r="211" outlineLevel="1">
      <c r="A211" t="inlineStr" s="23">
        <is>
          <t xml:space="preserve">Inference cost &gt; Growing shop</t>
        </is>
      </c>
      <c r="C211" s="9">
        <f>'Model inputs'!C147</f>
        <v>0</v>
      </c>
      <c r="D211" s="9">
        <f>'Model inputs'!D147</f>
        <v>0</v>
      </c>
      <c r="E211" s="9">
        <f>'Model inputs'!E147</f>
        <v>0</v>
      </c>
      <c r="F211" s="9">
        <f>'Model inputs'!F147</f>
        <v>0</v>
      </c>
      <c r="G211" s="9">
        <f>'Model inputs'!G147</f>
        <v>0</v>
      </c>
      <c r="H211" s="9">
        <f>'Model inputs'!H147</f>
        <v>0</v>
      </c>
      <c r="I211" s="9">
        <f>'Model inputs'!I147</f>
        <v>0</v>
      </c>
      <c r="J211" s="9">
        <f>'Model inputs'!J147</f>
        <v>0</v>
      </c>
      <c r="K211" s="9">
        <f>'SwapDesk — Operations · Merchan'!B42</f>
        <v>0</v>
      </c>
      <c r="L211" s="9">
        <f>'Model inputs'!L295*'Model inputs'!B252</f>
        <v>46.08</v>
      </c>
      <c r="M211" s="9">
        <f>'Model inputs'!M295*'Model inputs'!B252</f>
        <v>53.37599999999999</v>
      </c>
      <c r="N211" s="9">
        <f>'Model inputs'!N295*'Model inputs'!B252</f>
        <v>60.3072</v>
      </c>
      <c r="O211" s="9">
        <f>'Model inputs'!O295*'Model inputs'!B252</f>
        <v>66.89184</v>
      </c>
      <c r="P211" s="9">
        <f>'Model inputs'!P295*'Model inputs'!B252</f>
        <v>73.147248</v>
      </c>
      <c r="Q211" s="9">
        <f>'Model inputs'!Q295*'Model inputs'!B252</f>
        <v>79.0898856</v>
      </c>
      <c r="R211" s="9">
        <f>'Model inputs'!R295*'Model inputs'!B252</f>
        <v>84.73539131999998</v>
      </c>
      <c r="S211" s="9">
        <f>'Model inputs'!S295*'Model inputs'!B252</f>
        <v>90.09862175399998</v>
      </c>
      <c r="T211" s="9">
        <f>'Model inputs'!T295*'Model inputs'!B252</f>
        <v>95.19369066629999</v>
      </c>
      <c r="U211" s="9">
        <f>'Model inputs'!U295*'Model inputs'!B252</f>
        <v>100.034006132985</v>
      </c>
      <c r="V211" s="9">
        <f>'Model inputs'!V295*'Model inputs'!B252</f>
        <v>104.63230582633575</v>
      </c>
      <c r="W211" s="9">
        <f>'Model inputs'!W295*'Model inputs'!B252</f>
        <v>109.00069053501895</v>
      </c>
      <c r="X211" s="9">
        <f>'Model inputs'!X295*'Model inputs'!B252</f>
        <v>113.150656008268</v>
      </c>
      <c r="Y211" s="9">
        <f>'Model inputs'!Y295*'Model inputs'!B252</f>
        <v>117.09312320785459</v>
      </c>
      <c r="Z211" s="9">
        <f>'Model inputs'!Z295*'Model inputs'!B252</f>
        <v>120.83846704746188</v>
      </c>
      <c r="AA211" s="9">
        <f>'Model inputs'!AA295*'Model inputs'!B252</f>
        <v>124.3965436950888</v>
      </c>
      <c r="AB211" s="9">
        <f>'Model inputs'!AB295*'Model inputs'!B252</f>
        <v>127.77671651033434</v>
      </c>
      <c r="AC211" s="9">
        <f>'Model inputs'!AC295*'Model inputs'!B252</f>
        <v>130.9878806848176</v>
      </c>
      <c r="AD211" s="9">
        <f>'Model inputs'!AD295*'Model inputs'!B252</f>
        <v>134.03848665057671</v>
      </c>
      <c r="AE211" s="9">
        <f>'Model inputs'!AE295*'Model inputs'!B252</f>
        <v>136.9365623180479</v>
      </c>
      <c r="AF211" s="9">
        <f>'Model inputs'!AF295*'Model inputs'!B252</f>
        <v>139.6897342021455</v>
      </c>
      <c r="AG211" s="9">
        <f>'Model inputs'!AG295*'Model inputs'!B252</f>
        <v>142.30524749203823</v>
      </c>
      <c r="AH211" s="9">
        <f>'Model inputs'!AH295*'Model inputs'!B252</f>
        <v>144.78998511743632</v>
      </c>
      <c r="AI211" s="9">
        <f>'Model inputs'!AI295*'Model inputs'!B252</f>
        <v>147.1504858615645</v>
      </c>
    </row>
    <row r="212" outlineLevel="1">
      <c r="A212" t="inlineStr" s="23">
        <is>
          <t xml:space="preserve">Inference cost &gt; Small shop</t>
        </is>
      </c>
      <c r="C212" s="9">
        <f>'Model inputs'!C148</f>
        <v>0</v>
      </c>
      <c r="D212" s="9">
        <f>'Model inputs'!D148</f>
        <v>0</v>
      </c>
      <c r="E212" s="9">
        <f>'Model inputs'!E148</f>
        <v>0</v>
      </c>
      <c r="F212" s="9">
        <f>'Model inputs'!F148</f>
        <v>0</v>
      </c>
      <c r="G212" s="9">
        <f>'Model inputs'!G148</f>
        <v>0</v>
      </c>
      <c r="H212" s="9">
        <f>'Model inputs'!H148</f>
        <v>0</v>
      </c>
      <c r="I212" s="9">
        <f>'Model inputs'!I148</f>
        <v>0</v>
      </c>
      <c r="J212" s="9">
        <f>'Model inputs'!J148</f>
        <v>0</v>
      </c>
      <c r="K212" s="9">
        <f>'SwapDesk — Operations · Merchan'!B43</f>
        <v>0</v>
      </c>
      <c r="L212" s="9">
        <f>'Model inputs'!L296*'Model inputs'!B252</f>
        <v>32.832</v>
      </c>
      <c r="M212" s="9">
        <f>'Model inputs'!M296*'Model inputs'!B252</f>
        <v>36.622080000000004</v>
      </c>
      <c r="N212" s="9">
        <f>'Model inputs'!N296*'Model inputs'!B252</f>
        <v>40.184755200000005</v>
      </c>
      <c r="O212" s="9">
        <f>'Model inputs'!O296*'Model inputs'!B252</f>
        <v>43.533669888000006</v>
      </c>
      <c r="P212" s="9">
        <f>'Model inputs'!P296*'Model inputs'!B252</f>
        <v>46.68164969472</v>
      </c>
      <c r="Q212" s="9">
        <f>'Model inputs'!Q296*'Model inputs'!B252</f>
        <v>49.640750713036795</v>
      </c>
      <c r="R212" s="9">
        <f>'Model inputs'!R296*'Model inputs'!B252</f>
        <v>52.42230567025459</v>
      </c>
      <c r="S212" s="9">
        <f>'Model inputs'!S296*'Model inputs'!B252</f>
        <v>55.0369673300393</v>
      </c>
      <c r="T212" s="9">
        <f>'Model inputs'!T296*'Model inputs'!B252</f>
        <v>57.494749290236946</v>
      </c>
      <c r="U212" s="9">
        <f>'Model inputs'!U296*'Model inputs'!B252</f>
        <v>59.805064332822745</v>
      </c>
      <c r="V212" s="9">
        <f>'Model inputs'!V296*'Model inputs'!B252</f>
        <v>61.97676047285337</v>
      </c>
      <c r="W212" s="9">
        <f>'Model inputs'!W296*'Model inputs'!B252</f>
        <v>64.01815484448217</v>
      </c>
      <c r="X212" s="9">
        <f>'Model inputs'!X296*'Model inputs'!B252</f>
        <v>65.93706555381324</v>
      </c>
      <c r="Y212" s="9">
        <f>'Model inputs'!Y296*'Model inputs'!B252</f>
        <v>67.74084162058445</v>
      </c>
      <c r="Z212" s="9">
        <f>'Model inputs'!Z296*'Model inputs'!B252</f>
        <v>69.43639112334938</v>
      </c>
      <c r="AA212" s="9">
        <f>'Model inputs'!AA296*'Model inputs'!B252</f>
        <v>71.03020765594843</v>
      </c>
      <c r="AB212" s="9">
        <f>'Model inputs'!AB296*'Model inputs'!B252</f>
        <v>72.52839519659153</v>
      </c>
      <c r="AC212" s="9">
        <f>'Model inputs'!AC296*'Model inputs'!B252</f>
        <v>73.93669148479603</v>
      </c>
      <c r="AD212" s="9">
        <f>'Model inputs'!AD296*'Model inputs'!B252</f>
        <v>75.26048999570827</v>
      </c>
      <c r="AE212" s="9">
        <f>'Model inputs'!AE296*'Model inputs'!B252</f>
        <v>76.50486059596578</v>
      </c>
      <c r="AF212" s="9">
        <f>'Model inputs'!AF296*'Model inputs'!B252</f>
        <v>77.67456896020784</v>
      </c>
      <c r="AG212" s="9">
        <f>'Model inputs'!AG296*'Model inputs'!B252</f>
        <v>78.77409482259534</v>
      </c>
      <c r="AH212" s="9">
        <f>'Model inputs'!AH296*'Model inputs'!B252</f>
        <v>79.80764913323964</v>
      </c>
      <c r="AI212" s="9">
        <f>'Model inputs'!AI296*'Model inputs'!B252</f>
        <v>80.77919018524527</v>
      </c>
    </row>
    <row r="213">
      <c r="A213" t="inlineStr" s="22">
        <is>
          <t xml:space="preserve">Inference cost</t>
        </is>
      </c>
      <c r="C213" s="6">
        <f>IF('Model inputs'!C160="","",'Model inputs'!C160)</f>
        <v>0</v>
      </c>
      <c r="D213" s="6">
        <f>IF('Model inputs'!D160="","",'Model inputs'!D160)</f>
        <v>0</v>
      </c>
      <c r="E213" s="6">
        <f>IF('Model inputs'!E160="","",'Model inputs'!E160)</f>
        <v>0</v>
      </c>
      <c r="F213" s="6">
        <f>IF('Model inputs'!F160="","",'Model inputs'!F160)</f>
        <v>0</v>
      </c>
      <c r="G213" s="6">
        <f>IF('Model inputs'!G160="","",'Model inputs'!G160)</f>
        <v>0</v>
      </c>
      <c r="H213" s="6">
        <f>IF('Model inputs'!H160="","",'Model inputs'!H160)</f>
        <v>0</v>
      </c>
      <c r="I213" s="6">
        <f>IF('Model inputs'!I160="","",'Model inputs'!I160)</f>
        <v>0</v>
      </c>
      <c r="J213" s="6">
        <f>IF('Model inputs'!J160="","",'Model inputs'!J160)</f>
        <v>0</v>
      </c>
      <c r="K213" s="6">
        <f>IF('Model inputs'!K160="","",'Model inputs'!K160)</f>
        <v>0</v>
      </c>
      <c r="L213" s="6">
        <f>IF('Model inputs'!L160="","",'Model inputs'!L160)</f>
        <v>77.088</v>
      </c>
      <c r="M213" s="6">
        <f>IF('Model inputs'!M160="","",'Model inputs'!M160)</f>
        <v>107.45526000000001</v>
      </c>
      <c r="N213" s="6">
        <f>IF('Model inputs'!N160="","",'Model inputs'!N160)</f>
        <v>137.3107395</v>
      </c>
      <c r="O213" s="6">
        <f>IF('Model inputs'!O160="","",'Model inputs'!O160)</f>
        <v>166.6632406395</v>
      </c>
      <c r="P213" s="6">
        <f>IF('Model inputs'!P160="","",'Model inputs'!P160)</f>
        <v>195.52141101726752</v>
      </c>
      <c r="Q213" s="6">
        <f>IF('Model inputs'!Q160="","",'Model inputs'!Q160)</f>
        <v>223.8937464596213</v>
      </c>
      <c r="R213" s="6">
        <f>IF('Model inputs'!R160="","",'Model inputs'!R160)</f>
        <v>251.7885937381875</v>
      </c>
      <c r="S213" s="6">
        <f>IF('Model inputs'!S160="","",'Model inputs'!S160)</f>
        <v>279.21415323806605</v>
      </c>
      <c r="T213" s="6">
        <f>IF('Model inputs'!T160="","",'Model inputs'!T160)</f>
        <v>306.1784815773274</v>
      </c>
      <c r="U213" s="6">
        <f>IF('Model inputs'!U160="","",'Model inputs'!U160)</f>
        <v>332.68949417874313</v>
      </c>
      <c r="V213" s="6">
        <f>IF('Model inputs'!V160="","",'Model inputs'!V160)</f>
        <v>358.7549677946362</v>
      </c>
      <c r="W213" s="6">
        <f>IF('Model inputs'!W160="","",'Model inputs'!W160)</f>
        <v>384.3825429857193</v>
      </c>
      <c r="X213" s="6">
        <f>IF('Model inputs'!X160="","",'Model inputs'!X160)</f>
        <v>409.579726554776</v>
      </c>
      <c r="Y213" s="6">
        <f>IF('Model inputs'!Y160="","",'Model inputs'!Y160)</f>
        <v>434.35389393602014</v>
      </c>
      <c r="Z213" s="6">
        <f>IF('Model inputs'!Z160="","",'Model inputs'!Z160)</f>
        <v>458.71229154095425</v>
      </c>
      <c r="AA213" s="6">
        <f>IF('Model inputs'!AA160="","",'Model inputs'!AA160)</f>
        <v>482.6620390615349</v>
      </c>
      <c r="AB213" s="6">
        <f>IF('Model inputs'!AB160="","",'Model inputs'!AB160)</f>
        <v>506.21013173143297</v>
      </c>
      <c r="AC213" s="6">
        <f>IF('Model inputs'!AC160="","",'Model inputs'!AC160)</f>
        <v>529.3634425461661</v>
      </c>
      <c r="AD213" s="6">
        <f>IF('Model inputs'!AD160="","",'Model inputs'!AD160)</f>
        <v>552.128724442864</v>
      </c>
      <c r="AE213" s="6">
        <f>IF('Model inputs'!AE160="","",'Model inputs'!AE160)</f>
        <v>574.5126124404138</v>
      </c>
      <c r="AF213" s="6">
        <f>IF('Model inputs'!AF160="","",'Model inputs'!AF160)</f>
        <v>596.5216257407166</v>
      </c>
      <c r="AG213" s="6">
        <f>IF('Model inputs'!AG160="","",'Model inputs'!AG160)</f>
        <v>618.1621697917765</v>
      </c>
      <c r="AH213" s="6">
        <f>IF('Model inputs'!AH160="","",'Model inputs'!AH160)</f>
        <v>639.4405383133271</v>
      </c>
      <c r="AI213" s="6">
        <f>IF('Model inputs'!AI160="","",'Model inputs'!AI160)</f>
        <v>660.362915285686</v>
      </c>
    </row>
    <row r="214" outlineLevel="1">
      <c r="A214" t="inlineStr" s="23">
        <is>
          <t xml:space="preserve">Inference cost &gt; Growing shop</t>
        </is>
      </c>
      <c r="C214" s="9">
        <f>'Model inputs'!C147</f>
        <v>0</v>
      </c>
      <c r="D214" s="9">
        <f>'Model inputs'!D147</f>
        <v>0</v>
      </c>
      <c r="E214" s="9">
        <f>'Model inputs'!E147</f>
        <v>0</v>
      </c>
      <c r="F214" s="9">
        <f>'Model inputs'!F147</f>
        <v>0</v>
      </c>
      <c r="G214" s="9">
        <f>'Model inputs'!G147</f>
        <v>0</v>
      </c>
      <c r="H214" s="9">
        <f>'Model inputs'!H147</f>
        <v>0</v>
      </c>
      <c r="I214" s="9">
        <f>'Model inputs'!I147</f>
        <v>0</v>
      </c>
      <c r="J214" s="9">
        <f>'Model inputs'!J147</f>
        <v>0</v>
      </c>
      <c r="K214" s="9">
        <f>'SwapDesk — Operations · Merchan'!B42</f>
        <v>0</v>
      </c>
      <c r="L214" s="9">
        <f>'Model inputs'!L298*'Model inputs'!B253</f>
        <v>45.803999999999995</v>
      </c>
      <c r="M214" s="9">
        <f>'Model inputs'!M298*'Model inputs'!B253</f>
        <v>64.91694</v>
      </c>
      <c r="N214" s="9">
        <f>'Model inputs'!N298*'Model inputs'!B253</f>
        <v>83.7431859</v>
      </c>
      <c r="O214" s="9">
        <f>'Model inputs'!O298*'Model inputs'!B253</f>
        <v>102.2870381115</v>
      </c>
      <c r="P214" s="9">
        <f>'Model inputs'!P298*'Model inputs'!B253</f>
        <v>120.5527325398275</v>
      </c>
      <c r="Q214" s="9">
        <f>'Model inputs'!Q298*'Model inputs'!B253</f>
        <v>138.5444415517301</v>
      </c>
      <c r="R214" s="9">
        <f>'Model inputs'!R298*'Model inputs'!B253</f>
        <v>156.26627492845412</v>
      </c>
      <c r="S214" s="9">
        <f>'Model inputs'!S298*'Model inputs'!B253</f>
        <v>173.72228080452732</v>
      </c>
      <c r="T214" s="9">
        <f>'Model inputs'!T298*'Model inputs'!B253</f>
        <v>190.91644659245944</v>
      </c>
      <c r="U214" s="9">
        <f>'Model inputs'!U298*'Model inputs'!B253</f>
        <v>207.85269989357255</v>
      </c>
      <c r="V214" s="9">
        <f>'Model inputs'!V298*'Model inputs'!B253</f>
        <v>224.53490939516894</v>
      </c>
      <c r="W214" s="9">
        <f>'Model inputs'!W298*'Model inputs'!B253</f>
        <v>240.9668857542414</v>
      </c>
      <c r="X214" s="9">
        <f>'Model inputs'!X298*'Model inputs'!B253</f>
        <v>257.15238246792774</v>
      </c>
      <c r="Y214" s="9">
        <f>'Model inputs'!Y298*'Model inputs'!B253</f>
        <v>273.09509673090884</v>
      </c>
      <c r="Z214" s="9">
        <f>'Model inputs'!Z298*'Model inputs'!B253</f>
        <v>288.79867027994516</v>
      </c>
      <c r="AA214" s="9">
        <f>'Model inputs'!AA298*'Model inputs'!B253</f>
        <v>304.266690225746</v>
      </c>
      <c r="AB214" s="9">
        <f>'Model inputs'!AB298*'Model inputs'!B253</f>
        <v>319.5026898723599</v>
      </c>
      <c r="AC214" s="9">
        <f>'Model inputs'!AC298*'Model inputs'!B253</f>
        <v>334.5101495242744</v>
      </c>
      <c r="AD214" s="9">
        <f>'Model inputs'!AD298*'Model inputs'!B253</f>
        <v>349.29249728141025</v>
      </c>
      <c r="AE214" s="9">
        <f>'Model inputs'!AE298*'Model inputs'!B253</f>
        <v>363.8531098221891</v>
      </c>
      <c r="AF214" s="9">
        <f>'Model inputs'!AF298*'Model inputs'!B253</f>
        <v>378.1953131748563</v>
      </c>
      <c r="AG214" s="9">
        <f>'Model inputs'!AG298*'Model inputs'!B253</f>
        <v>392.3223834772334</v>
      </c>
      <c r="AH214" s="9">
        <f>'Model inputs'!AH298*'Model inputs'!B253</f>
        <v>406.237547725075</v>
      </c>
      <c r="AI214" s="9">
        <f>'Model inputs'!AI298*'Model inputs'!B253</f>
        <v>419.9439845091988</v>
      </c>
    </row>
    <row r="215" outlineLevel="1">
      <c r="A215" t="inlineStr" s="23">
        <is>
          <t xml:space="preserve">Inference cost &gt; Small shop</t>
        </is>
      </c>
      <c r="C215" s="9">
        <f>'Model inputs'!C148</f>
        <v>0</v>
      </c>
      <c r="D215" s="9">
        <f>'Model inputs'!D148</f>
        <v>0</v>
      </c>
      <c r="E215" s="9">
        <f>'Model inputs'!E148</f>
        <v>0</v>
      </c>
      <c r="F215" s="9">
        <f>'Model inputs'!F148</f>
        <v>0</v>
      </c>
      <c r="G215" s="9">
        <f>'Model inputs'!G148</f>
        <v>0</v>
      </c>
      <c r="H215" s="9">
        <f>'Model inputs'!H148</f>
        <v>0</v>
      </c>
      <c r="I215" s="9">
        <f>'Model inputs'!I148</f>
        <v>0</v>
      </c>
      <c r="J215" s="9">
        <f>'Model inputs'!J148</f>
        <v>0</v>
      </c>
      <c r="K215" s="9">
        <f>'SwapDesk — Operations · Merchan'!B43</f>
        <v>0</v>
      </c>
      <c r="L215" s="9">
        <f>'Model inputs'!L299*'Model inputs'!B253</f>
        <v>31.284</v>
      </c>
      <c r="M215" s="9">
        <f>'Model inputs'!M299*'Model inputs'!B253</f>
        <v>42.538320000000006</v>
      </c>
      <c r="N215" s="9">
        <f>'Model inputs'!N299*'Model inputs'!B253</f>
        <v>53.5675536</v>
      </c>
      <c r="O215" s="9">
        <f>'Model inputs'!O299*'Model inputs'!B253</f>
        <v>64.37620252800001</v>
      </c>
      <c r="P215" s="9">
        <f>'Model inputs'!P299*'Model inputs'!B253</f>
        <v>74.96867847744002</v>
      </c>
      <c r="Q215" s="9">
        <f>'Model inputs'!Q299*'Model inputs'!B253</f>
        <v>85.34930490789121</v>
      </c>
      <c r="R215" s="9">
        <f>'Model inputs'!R299*'Model inputs'!B253</f>
        <v>95.52231880973338</v>
      </c>
      <c r="S215" s="9">
        <f>'Model inputs'!S299*'Model inputs'!B253</f>
        <v>105.49187243353873</v>
      </c>
      <c r="T215" s="9">
        <f>'Model inputs'!T299*'Model inputs'!B253</f>
        <v>115.26203498486794</v>
      </c>
      <c r="U215" s="9">
        <f>'Model inputs'!U299*'Model inputs'!B253</f>
        <v>124.83679428517058</v>
      </c>
      <c r="V215" s="9">
        <f>'Model inputs'!V299*'Model inputs'!B253</f>
        <v>134.2200583994672</v>
      </c>
      <c r="W215" s="9">
        <f>'Model inputs'!W299*'Model inputs'!B253</f>
        <v>143.41565723147787</v>
      </c>
      <c r="X215" s="9">
        <f>'Model inputs'!X299*'Model inputs'!B253</f>
        <v>152.42734408684828</v>
      </c>
      <c r="Y215" s="9">
        <f>'Model inputs'!Y299*'Model inputs'!B253</f>
        <v>161.2587972051113</v>
      </c>
      <c r="Z215" s="9">
        <f>'Model inputs'!Z299*'Model inputs'!B253</f>
        <v>169.9136212610091</v>
      </c>
      <c r="AA215" s="9">
        <f>'Model inputs'!AA299*'Model inputs'!B253</f>
        <v>178.39534883578892</v>
      </c>
      <c r="AB215" s="9">
        <f>'Model inputs'!AB299*'Model inputs'!B253</f>
        <v>186.7074418590731</v>
      </c>
      <c r="AC215" s="9">
        <f>'Model inputs'!AC299*'Model inputs'!B253</f>
        <v>194.85329302189166</v>
      </c>
      <c r="AD215" s="9">
        <f>'Model inputs'!AD299*'Model inputs'!B253</f>
        <v>202.8362271614538</v>
      </c>
      <c r="AE215" s="9">
        <f>'Model inputs'!AE299*'Model inputs'!B253</f>
        <v>210.65950261822474</v>
      </c>
      <c r="AF215" s="9">
        <f>'Model inputs'!AF299*'Model inputs'!B253</f>
        <v>218.3263125658602</v>
      </c>
      <c r="AG215" s="9">
        <f>'Model inputs'!AG299*'Model inputs'!B253</f>
        <v>225.839786314543</v>
      </c>
      <c r="AH215" s="9">
        <f>'Model inputs'!AH299*'Model inputs'!B253</f>
        <v>233.2029905882522</v>
      </c>
      <c r="AI215" s="9">
        <f>'Model inputs'!AI299*'Model inputs'!B253</f>
        <v>240.41893077648714</v>
      </c>
    </row>
    <row r="216">
      <c r="A216" t="inlineStr" s="22">
        <is>
          <t xml:space="preserve">Infrastructure variable cost</t>
        </is>
      </c>
      <c r="C216" s="6">
        <f>IF('Model inputs'!C161="","",'Model inputs'!C161)</f>
        <v>0</v>
      </c>
      <c r="D216" s="6">
        <f>IF('Model inputs'!D161="","",'Model inputs'!D161)</f>
        <v>0</v>
      </c>
      <c r="E216" s="6">
        <f>IF('Model inputs'!E161="","",'Model inputs'!E161)</f>
        <v>0</v>
      </c>
      <c r="F216" s="6">
        <f>IF('Model inputs'!F161="","",'Model inputs'!F161)</f>
        <v>0</v>
      </c>
      <c r="G216" s="6">
        <f>IF('Model inputs'!G161="","",'Model inputs'!G161)</f>
        <v>0</v>
      </c>
      <c r="H216" s="6">
        <f>IF('Model inputs'!H161="","",'Model inputs'!H161)</f>
        <v>0</v>
      </c>
      <c r="I216" s="6">
        <f>IF('Model inputs'!I161="","",'Model inputs'!I161)</f>
        <v>0</v>
      </c>
      <c r="J216" s="6">
        <f>IF('Model inputs'!J161="","",'Model inputs'!J161)</f>
        <v>0</v>
      </c>
      <c r="K216" s="6">
        <f>IF('Model inputs'!K161="","",'Model inputs'!K161)</f>
        <v>0</v>
      </c>
      <c r="L216" s="6">
        <f>IF('Model inputs'!L161="","",'Model inputs'!L161)</f>
        <v>8.1</v>
      </c>
      <c r="M216" s="6">
        <f>IF('Model inputs'!M161="","",'Model inputs'!M161)</f>
        <v>9.138</v>
      </c>
      <c r="N216" s="6">
        <f>IF('Model inputs'!N161="","",'Model inputs'!N161)</f>
        <v>10.11752</v>
      </c>
      <c r="O216" s="6">
        <f>IF('Model inputs'!O161="","",'Model inputs'!O161)</f>
        <v>11.041878800000001</v>
      </c>
      <c r="P216" s="6">
        <f>IF('Model inputs'!P161="","",'Model inputs'!P161)</f>
        <v>11.914205572</v>
      </c>
      <c r="Q216" s="6">
        <f>IF('Model inputs'!Q161="","",'Model inputs'!Q161)</f>
        <v>12.737450762679998</v>
      </c>
      <c r="R216" s="6">
        <f>IF('Model inputs'!R161="","",'Model inputs'!R161)</f>
        <v>13.5143963656692</v>
      </c>
      <c r="S216" s="6">
        <f>IF('Model inputs'!S161="","",'Model inputs'!S161)</f>
        <v>14.247665600041547</v>
      </c>
      <c r="T216" s="6">
        <f>IF('Model inputs'!T161="","",'Model inputs'!T161)</f>
        <v>14.939732029535929</v>
      </c>
      <c r="U216" s="6">
        <f>IF('Model inputs'!U161="","",'Model inputs'!U161)</f>
        <v>15.592928154985806</v>
      </c>
      <c r="V216" s="6">
        <f>IF('Model inputs'!V161="","",'Model inputs'!V161)</f>
        <v>16.209453510547586</v>
      </c>
      <c r="W216" s="6">
        <f>IF('Model inputs'!W161="","",'Model inputs'!W161)</f>
        <v>16.791382292532614</v>
      </c>
      <c r="X216" s="6">
        <f>IF('Model inputs'!X161="","",'Model inputs'!X161)</f>
        <v>17.340670547967648</v>
      </c>
      <c r="Y216" s="6">
        <f>IF('Model inputs'!Y161="","",'Model inputs'!Y161)</f>
        <v>17.859162948427226</v>
      </c>
      <c r="Z216" s="6">
        <f>IF('Model inputs'!Z161="","",'Model inputs'!Z161)</f>
        <v>18.348599173192355</v>
      </c>
      <c r="AA216" s="6">
        <f>IF('Model inputs'!AA161="","",'Model inputs'!AA161)</f>
        <v>18.810619924388032</v>
      </c>
      <c r="AB216" s="6">
        <f>IF('Model inputs'!AB161="","",'Model inputs'!AB161)</f>
        <v>19.24677259543261</v>
      </c>
      <c r="AC216" s="6">
        <f>IF('Model inputs'!AC161="","",'Model inputs'!AC161)</f>
        <v>19.658516612889116</v>
      </c>
      <c r="AD216" s="6">
        <f>IF('Model inputs'!AD161="","",'Model inputs'!AD161)</f>
        <v>20.047228470639112</v>
      </c>
      <c r="AE216" s="6">
        <f>IF('Model inputs'!AE161="","",'Model inputs'!AE161)</f>
        <v>20.414206474197943</v>
      </c>
      <c r="AF216" s="6">
        <f>IF('Model inputs'!AF161="","",'Model inputs'!AF161)</f>
        <v>20.760675211953384</v>
      </c>
      <c r="AG216" s="6">
        <f>IF('Model inputs'!AG161="","",'Model inputs'!AG161)</f>
        <v>21.08778976913313</v>
      </c>
      <c r="AH216" s="6">
        <f>IF('Model inputs'!AH161="","",'Model inputs'!AH161)</f>
        <v>21.396639699387247</v>
      </c>
      <c r="AI216" s="6">
        <f>IF('Model inputs'!AI161="","",'Model inputs'!AI161)</f>
        <v>21.68825276800601</v>
      </c>
    </row>
    <row r="217" outlineLevel="1">
      <c r="A217" t="inlineStr" s="23">
        <is>
          <t xml:space="preserve">Infrastructure variable cost &gt; Growing shop</t>
        </is>
      </c>
      <c r="C217" s="9">
        <f>'Model inputs'!C141</f>
        <v>0</v>
      </c>
      <c r="D217" s="9">
        <f>'Model inputs'!D141</f>
        <v>0</v>
      </c>
      <c r="E217" s="9">
        <f>'Model inputs'!E141</f>
        <v>0</v>
      </c>
      <c r="F217" s="9">
        <f>'Model inputs'!F141</f>
        <v>0</v>
      </c>
      <c r="G217" s="9">
        <f>'Model inputs'!G141</f>
        <v>0</v>
      </c>
      <c r="H217" s="9">
        <f>'Model inputs'!H141</f>
        <v>0</v>
      </c>
      <c r="I217" s="9">
        <f>'Model inputs'!I141</f>
        <v>0</v>
      </c>
      <c r="J217" s="9">
        <f>'Model inputs'!J141</f>
        <v>0</v>
      </c>
      <c r="K217" s="9">
        <f>'SwapDesk — Operations · Merchan'!B45</f>
        <v>0</v>
      </c>
      <c r="L217" s="9">
        <f>'Model inputs'!L197*'Model inputs'!B260</f>
        <v>2.4</v>
      </c>
      <c r="M217" s="9">
        <f>'Model inputs'!M197*'Model inputs'!B260</f>
        <v>2.78</v>
      </c>
      <c r="N217" s="9">
        <f>'Model inputs'!N197*'Model inputs'!B260</f>
        <v>3.141</v>
      </c>
      <c r="O217" s="9">
        <f>'Model inputs'!O197*'Model inputs'!B260</f>
        <v>3.48395</v>
      </c>
      <c r="P217" s="9">
        <f>'Model inputs'!P197*'Model inputs'!B260</f>
        <v>3.8097525</v>
      </c>
      <c r="Q217" s="9">
        <f>'Model inputs'!Q197*'Model inputs'!B260</f>
        <v>4.119264875</v>
      </c>
      <c r="R217" s="9">
        <f>'Model inputs'!R197*'Model inputs'!B260</f>
        <v>4.4133016312499995</v>
      </c>
      <c r="S217" s="9">
        <f>'Model inputs'!S197*'Model inputs'!B260</f>
        <v>4.692636549687499</v>
      </c>
      <c r="T217" s="9">
        <f>'Model inputs'!T197*'Model inputs'!B260</f>
        <v>4.958004722203125</v>
      </c>
      <c r="U217" s="9">
        <f>'Model inputs'!U197*'Model inputs'!B260</f>
        <v>5.210104486092969</v>
      </c>
      <c r="V217" s="9">
        <f>'Model inputs'!V197*'Model inputs'!B260</f>
        <v>5.44959926178832</v>
      </c>
      <c r="W217" s="9">
        <f>'Model inputs'!W197*'Model inputs'!B260</f>
        <v>5.677119298698904</v>
      </c>
      <c r="X217" s="9">
        <f>'Model inputs'!X197*'Model inputs'!B260</f>
        <v>5.893263333763959</v>
      </c>
      <c r="Y217" s="9">
        <f>'Model inputs'!Y197*'Model inputs'!B260</f>
        <v>6.098600167075761</v>
      </c>
      <c r="Z217" s="9">
        <f>'Model inputs'!Z197*'Model inputs'!B260</f>
        <v>6.293670158721973</v>
      </c>
      <c r="AA217" s="9">
        <f>'Model inputs'!AA197*'Model inputs'!B260</f>
        <v>6.478986650785874</v>
      </c>
      <c r="AB217" s="9">
        <f>'Model inputs'!AB197*'Model inputs'!B260</f>
        <v>6.65503731824658</v>
      </c>
      <c r="AC217" s="9">
        <f>'Model inputs'!AC197*'Model inputs'!B260</f>
        <v>6.822285452334251</v>
      </c>
      <c r="AD217" s="9">
        <f>'Model inputs'!AD197*'Model inputs'!B260</f>
        <v>6.981171179717538</v>
      </c>
      <c r="AE217" s="9">
        <f>'Model inputs'!AE197*'Model inputs'!B260</f>
        <v>7.132112620731662</v>
      </c>
      <c r="AF217" s="9">
        <f>'Model inputs'!AF197*'Model inputs'!B260</f>
        <v>7.275506989695079</v>
      </c>
      <c r="AG217" s="9">
        <f>'Model inputs'!AG197*'Model inputs'!B260</f>
        <v>7.411731640210325</v>
      </c>
      <c r="AH217" s="9">
        <f>'Model inputs'!AH197*'Model inputs'!B260</f>
        <v>7.541145058199809</v>
      </c>
      <c r="AI217" s="9">
        <f>'Model inputs'!AI197*'Model inputs'!B260</f>
        <v>7.664087805289819</v>
      </c>
    </row>
    <row r="218" outlineLevel="1">
      <c r="A218" t="inlineStr" s="23">
        <is>
          <t xml:space="preserve">Infrastructure variable cost &gt; Small shop</t>
        </is>
      </c>
      <c r="C218" s="9">
        <f>'Model inputs'!C142</f>
        <v>0</v>
      </c>
      <c r="D218" s="9">
        <f>'Model inputs'!D142</f>
        <v>0</v>
      </c>
      <c r="E218" s="9">
        <f>'Model inputs'!E142</f>
        <v>0</v>
      </c>
      <c r="F218" s="9">
        <f>'Model inputs'!F142</f>
        <v>0</v>
      </c>
      <c r="G218" s="9">
        <f>'Model inputs'!G142</f>
        <v>0</v>
      </c>
      <c r="H218" s="9">
        <f>'Model inputs'!H142</f>
        <v>0</v>
      </c>
      <c r="I218" s="9">
        <f>'Model inputs'!I142</f>
        <v>0</v>
      </c>
      <c r="J218" s="9">
        <f>'Model inputs'!J142</f>
        <v>0</v>
      </c>
      <c r="K218" s="9">
        <f>'SwapDesk — Operations · Merchan'!B46</f>
        <v>0</v>
      </c>
      <c r="L218" s="9">
        <f>'Model inputs'!L198*'Model inputs'!B260</f>
        <v>5.7</v>
      </c>
      <c r="M218" s="9">
        <f>'Model inputs'!M198*'Model inputs'!B260</f>
        <v>6.3580000000000005</v>
      </c>
      <c r="N218" s="9">
        <f>'Model inputs'!N198*'Model inputs'!B260</f>
        <v>6.976520000000001</v>
      </c>
      <c r="O218" s="9">
        <f>'Model inputs'!O198*'Model inputs'!B260</f>
        <v>7.557928800000001</v>
      </c>
      <c r="P218" s="9">
        <f>'Model inputs'!P198*'Model inputs'!B260</f>
        <v>8.104453072</v>
      </c>
      <c r="Q218" s="9">
        <f>'Model inputs'!Q198*'Model inputs'!B260</f>
        <v>8.61818588768</v>
      </c>
      <c r="R218" s="9">
        <f>'Model inputs'!R198*'Model inputs'!B260</f>
        <v>9.101094734419199</v>
      </c>
      <c r="S218" s="9">
        <f>'Model inputs'!S198*'Model inputs'!B260</f>
        <v>9.555029050354047</v>
      </c>
      <c r="T218" s="9">
        <f>'Model inputs'!T198*'Model inputs'!B260</f>
        <v>9.981727307332804</v>
      </c>
      <c r="U218" s="9">
        <f>'Model inputs'!U198*'Model inputs'!B260</f>
        <v>10.382823668892836</v>
      </c>
      <c r="V218" s="9">
        <f>'Model inputs'!V198*'Model inputs'!B260</f>
        <v>10.759854248759266</v>
      </c>
      <c r="W218" s="9">
        <f>'Model inputs'!W198*'Model inputs'!B260</f>
        <v>11.11426299383371</v>
      </c>
      <c r="X218" s="9">
        <f>'Model inputs'!X198*'Model inputs'!B260</f>
        <v>11.447407214203688</v>
      </c>
      <c r="Y218" s="9">
        <f>'Model inputs'!Y198*'Model inputs'!B260</f>
        <v>11.760562781351467</v>
      </c>
      <c r="Z218" s="9">
        <f>'Model inputs'!Z198*'Model inputs'!B260</f>
        <v>12.05492901447038</v>
      </c>
      <c r="AA218" s="9">
        <f>'Model inputs'!AA198*'Model inputs'!B260</f>
        <v>12.331633273602158</v>
      </c>
      <c r="AB218" s="9">
        <f>'Model inputs'!AB198*'Model inputs'!B260</f>
        <v>12.591735277186029</v>
      </c>
      <c r="AC218" s="9">
        <f>'Model inputs'!AC198*'Model inputs'!B260</f>
        <v>12.836231160554867</v>
      </c>
      <c r="AD218" s="9">
        <f>'Model inputs'!AD198*'Model inputs'!B260</f>
        <v>13.066057290921576</v>
      </c>
      <c r="AE218" s="9">
        <f>'Model inputs'!AE198*'Model inputs'!B260</f>
        <v>13.28209385346628</v>
      </c>
      <c r="AF218" s="9">
        <f>'Model inputs'!AF198*'Model inputs'!B260</f>
        <v>13.485168222258304</v>
      </c>
      <c r="AG218" s="9">
        <f>'Model inputs'!AG198*'Model inputs'!B260</f>
        <v>13.676058128922806</v>
      </c>
      <c r="AH218" s="9">
        <f>'Model inputs'!AH198*'Model inputs'!B260</f>
        <v>13.855494641187438</v>
      </c>
      <c r="AI218" s="9">
        <f>'Model inputs'!AI198*'Model inputs'!B260</f>
        <v>14.024164962716192</v>
      </c>
    </row>
    <row r="219">
      <c r="A219" t="inlineStr" s="22">
        <is>
          <t xml:space="preserve">Infrastructure variable cost</t>
        </is>
      </c>
      <c r="C219" s="6">
        <f>IF('Model inputs'!C162="","",'Model inputs'!C162)</f>
        <v>0</v>
      </c>
      <c r="D219" s="6">
        <f>IF('Model inputs'!D162="","",'Model inputs'!D162)</f>
        <v>0</v>
      </c>
      <c r="E219" s="6">
        <f>IF('Model inputs'!E162="","",'Model inputs'!E162)</f>
        <v>0</v>
      </c>
      <c r="F219" s="6">
        <f>IF('Model inputs'!F162="","",'Model inputs'!F162)</f>
        <v>0</v>
      </c>
      <c r="G219" s="6">
        <f>IF('Model inputs'!G162="","",'Model inputs'!G162)</f>
        <v>0</v>
      </c>
      <c r="H219" s="6">
        <f>IF('Model inputs'!H162="","",'Model inputs'!H162)</f>
        <v>0</v>
      </c>
      <c r="I219" s="6">
        <f>IF('Model inputs'!I162="","",'Model inputs'!I162)</f>
        <v>0</v>
      </c>
      <c r="J219" s="6">
        <f>IF('Model inputs'!J162="","",'Model inputs'!J162)</f>
        <v>0</v>
      </c>
      <c r="K219" s="6">
        <f>IF('Model inputs'!K162="","",'Model inputs'!K162)</f>
        <v>0</v>
      </c>
      <c r="L219" s="6">
        <f>IF('Model inputs'!L162="","",'Model inputs'!L162)</f>
        <v>11.370000000000001</v>
      </c>
      <c r="M219" s="6">
        <f>IF('Model inputs'!M162="","",'Model inputs'!M162)</f>
        <v>15.659950000000002</v>
      </c>
      <c r="N219" s="6">
        <f>IF('Model inputs'!N162="","",'Model inputs'!N162)</f>
        <v>19.87134075</v>
      </c>
      <c r="O219" s="6">
        <f>IF('Model inputs'!O162="","",'Model inputs'!O162)</f>
        <v>24.005634838750005</v>
      </c>
      <c r="P219" s="6">
        <f>IF('Model inputs'!P162="","",'Model inputs'!P162)</f>
        <v>28.064267232168753</v>
      </c>
      <c r="Q219" s="6">
        <f>IF('Model inputs'!Q162="","",'Model inputs'!Q162)</f>
        <v>32.04864580136622</v>
      </c>
      <c r="R219" s="6">
        <f>IF('Model inputs'!R162="","",'Model inputs'!R162)</f>
        <v>35.96015184047213</v>
      </c>
      <c r="S219" s="6">
        <f>IF('Model inputs'!S162="","",'Model inputs'!S162)</f>
        <v>39.80014057446892</v>
      </c>
      <c r="T219" s="6">
        <f>IF('Model inputs'!T162="","",'Model inputs'!T162)</f>
        <v>43.56994165722368</v>
      </c>
      <c r="U219" s="6">
        <f>IF('Model inputs'!U162="","",'Model inputs'!U162)</f>
        <v>47.27085965990969</v>
      </c>
      <c r="V219" s="6">
        <f>IF('Model inputs'!V162="","",'Model inputs'!V162)</f>
        <v>50.90417455000451</v>
      </c>
      <c r="W219" s="6">
        <f>IF('Model inputs'!W162="","",'Model inputs'!W162)</f>
        <v>54.47114216104805</v>
      </c>
      <c r="X219" s="6">
        <f>IF('Model inputs'!X162="","",'Model inputs'!X162)</f>
        <v>57.97299465334005</v>
      </c>
      <c r="Y219" s="6">
        <f>IF('Model inputs'!Y162="","",'Model inputs'!Y162)</f>
        <v>61.410940965753525</v>
      </c>
      <c r="Z219" s="6">
        <f>IF('Model inputs'!Z162="","",'Model inputs'!Z162)</f>
        <v>64.78616725883653</v>
      </c>
      <c r="AA219" s="6">
        <f>IF('Model inputs'!AA162="","",'Model inputs'!AA162)</f>
        <v>68.0998373493719</v>
      </c>
      <c r="AB219" s="6">
        <f>IF('Model inputs'!AB162="","",'Model inputs'!AB162)</f>
        <v>71.35309313656087</v>
      </c>
      <c r="AC219" s="6">
        <f>IF('Model inputs'!AC162="","",'Model inputs'!AC162)</f>
        <v>74.54705501999342</v>
      </c>
      <c r="AD219" s="6">
        <f>IF('Model inputs'!AD162="","",'Model inputs'!AD162)</f>
        <v>77.68282230956487</v>
      </c>
      <c r="AE219" s="6">
        <f>IF('Model inputs'!AE162="","",'Model inputs'!AE162)</f>
        <v>80.76147362749532</v>
      </c>
      <c r="AF219" s="6">
        <f>IF('Model inputs'!AF162="","",'Model inputs'!AF162)</f>
        <v>83.78406730260534</v>
      </c>
      <c r="AG219" s="6">
        <f>IF('Model inputs'!AG162="","",'Model inputs'!AG162)</f>
        <v>86.75164175699825</v>
      </c>
      <c r="AH219" s="6">
        <f>IF('Model inputs'!AH162="","",'Model inputs'!AH162)</f>
        <v>89.66521588529663</v>
      </c>
      <c r="AI219" s="6">
        <f>IF('Model inputs'!AI162="","",'Model inputs'!AI162)</f>
        <v>92.52578942657748</v>
      </c>
    </row>
    <row r="220" outlineLevel="1">
      <c r="A220" t="inlineStr" s="23">
        <is>
          <t xml:space="preserve">Infrastructure variable cost &gt; Growing shop</t>
        </is>
      </c>
      <c r="C220" s="9">
        <f>'Model inputs'!C141</f>
        <v>0</v>
      </c>
      <c r="D220" s="9">
        <f>'Model inputs'!D141</f>
        <v>0</v>
      </c>
      <c r="E220" s="9">
        <f>'Model inputs'!E141</f>
        <v>0</v>
      </c>
      <c r="F220" s="9">
        <f>'Model inputs'!F141</f>
        <v>0</v>
      </c>
      <c r="G220" s="9">
        <f>'Model inputs'!G141</f>
        <v>0</v>
      </c>
      <c r="H220" s="9">
        <f>'Model inputs'!H141</f>
        <v>0</v>
      </c>
      <c r="I220" s="9">
        <f>'Model inputs'!I141</f>
        <v>0</v>
      </c>
      <c r="J220" s="9">
        <f>'Model inputs'!J141</f>
        <v>0</v>
      </c>
      <c r="K220" s="9">
        <f>'SwapDesk — Operations · Merchan'!B45</f>
        <v>0</v>
      </c>
      <c r="L220" s="9">
        <f>'Model inputs'!L200*'Model inputs'!B261</f>
        <v>3.47</v>
      </c>
      <c r="M220" s="9">
        <f>'Model inputs'!M200*'Model inputs'!B261</f>
        <v>4.91795</v>
      </c>
      <c r="N220" s="9">
        <f>'Model inputs'!N200*'Model inputs'!B261</f>
        <v>6.3441807500000005</v>
      </c>
      <c r="O220" s="9">
        <f>'Model inputs'!O200*'Model inputs'!B261</f>
        <v>7.74901803875</v>
      </c>
      <c r="P220" s="9">
        <f>'Model inputs'!P200*'Model inputs'!B261</f>
        <v>9.13278276816875</v>
      </c>
      <c r="Q220" s="9">
        <f>'Model inputs'!Q200*'Model inputs'!B261</f>
        <v>10.49579102664622</v>
      </c>
      <c r="R220" s="9">
        <f>'Model inputs'!R200*'Model inputs'!B261</f>
        <v>11.838354161246526</v>
      </c>
      <c r="S220" s="9">
        <f>'Model inputs'!S200*'Model inputs'!B261</f>
        <v>13.160778848827828</v>
      </c>
      <c r="T220" s="9">
        <f>'Model inputs'!T200*'Model inputs'!B261</f>
        <v>14.463367166095411</v>
      </c>
      <c r="U220" s="9">
        <f>'Model inputs'!U200*'Model inputs'!B261</f>
        <v>15.74641665860398</v>
      </c>
      <c r="V220" s="9">
        <f>'Model inputs'!V200*'Model inputs'!B261</f>
        <v>17.01022040872492</v>
      </c>
      <c r="W220" s="9">
        <f>'Model inputs'!W200*'Model inputs'!B261</f>
        <v>18.255067102594044</v>
      </c>
      <c r="X220" s="9">
        <f>'Model inputs'!X200*'Model inputs'!B261</f>
        <v>19.481241096055133</v>
      </c>
      <c r="Y220" s="9">
        <f>'Model inputs'!Y200*'Model inputs'!B261</f>
        <v>20.689022479614305</v>
      </c>
      <c r="Z220" s="9">
        <f>'Model inputs'!Z200*'Model inputs'!B261</f>
        <v>21.87868714242009</v>
      </c>
      <c r="AA220" s="9">
        <f>'Model inputs'!AA200*'Model inputs'!B261</f>
        <v>23.05050683528379</v>
      </c>
      <c r="AB220" s="9">
        <f>'Model inputs'!AB200*'Model inputs'!B261</f>
        <v>24.204749232754533</v>
      </c>
      <c r="AC220" s="9">
        <f>'Model inputs'!AC200*'Model inputs'!B261</f>
        <v>25.341677994263215</v>
      </c>
      <c r="AD220" s="9">
        <f>'Model inputs'!AD200*'Model inputs'!B261</f>
        <v>26.461552824349265</v>
      </c>
      <c r="AE220" s="9">
        <f>'Model inputs'!AE200*'Model inputs'!B261</f>
        <v>27.564629531984025</v>
      </c>
      <c r="AF220" s="9">
        <f>'Model inputs'!AF200*'Model inputs'!B261</f>
        <v>28.651160089004264</v>
      </c>
      <c r="AG220" s="9">
        <f>'Model inputs'!AG200*'Model inputs'!B261</f>
        <v>29.7213926876692</v>
      </c>
      <c r="AH220" s="9">
        <f>'Model inputs'!AH200*'Model inputs'!B261</f>
        <v>30.775571797354164</v>
      </c>
      <c r="AI220" s="9">
        <f>'Model inputs'!AI200*'Model inputs'!B261</f>
        <v>31.813938220393847</v>
      </c>
    </row>
    <row r="221" outlineLevel="1">
      <c r="A221" t="inlineStr" s="23">
        <is>
          <t xml:space="preserve">Infrastructure variable cost &gt; Small shop</t>
        </is>
      </c>
      <c r="C221" s="9">
        <f>'Model inputs'!C142</f>
        <v>0</v>
      </c>
      <c r="D221" s="9">
        <f>'Model inputs'!D142</f>
        <v>0</v>
      </c>
      <c r="E221" s="9">
        <f>'Model inputs'!E142</f>
        <v>0</v>
      </c>
      <c r="F221" s="9">
        <f>'Model inputs'!F142</f>
        <v>0</v>
      </c>
      <c r="G221" s="9">
        <f>'Model inputs'!G142</f>
        <v>0</v>
      </c>
      <c r="H221" s="9">
        <f>'Model inputs'!H142</f>
        <v>0</v>
      </c>
      <c r="I221" s="9">
        <f>'Model inputs'!I142</f>
        <v>0</v>
      </c>
      <c r="J221" s="9">
        <f>'Model inputs'!J142</f>
        <v>0</v>
      </c>
      <c r="K221" s="9">
        <f>'SwapDesk — Operations · Merchan'!B46</f>
        <v>0</v>
      </c>
      <c r="L221" s="9">
        <f>'Model inputs'!L201*'Model inputs'!B261</f>
        <v>7.9</v>
      </c>
      <c r="M221" s="9">
        <f>'Model inputs'!M201*'Model inputs'!B261</f>
        <v>10.742</v>
      </c>
      <c r="N221" s="9">
        <f>'Model inputs'!N201*'Model inputs'!B261</f>
        <v>13.52716</v>
      </c>
      <c r="O221" s="9">
        <f>'Model inputs'!O201*'Model inputs'!B261</f>
        <v>16.256616800000003</v>
      </c>
      <c r="P221" s="9">
        <f>'Model inputs'!P201*'Model inputs'!B261</f>
        <v>18.931484464000004</v>
      </c>
      <c r="Q221" s="9">
        <f>'Model inputs'!Q201*'Model inputs'!B261</f>
        <v>21.552854774720004</v>
      </c>
      <c r="R221" s="9">
        <f>'Model inputs'!R201*'Model inputs'!B261</f>
        <v>24.121797679225605</v>
      </c>
      <c r="S221" s="9">
        <f>'Model inputs'!S201*'Model inputs'!B261</f>
        <v>26.63936172564109</v>
      </c>
      <c r="T221" s="9">
        <f>'Model inputs'!T201*'Model inputs'!B261</f>
        <v>29.10657449112827</v>
      </c>
      <c r="U221" s="9">
        <f>'Model inputs'!U201*'Model inputs'!B261</f>
        <v>31.524443001305706</v>
      </c>
      <c r="V221" s="9">
        <f>'Model inputs'!V201*'Model inputs'!B261</f>
        <v>33.89395414127959</v>
      </c>
      <c r="W221" s="9">
        <f>'Model inputs'!W201*'Model inputs'!B261</f>
        <v>36.216075058454</v>
      </c>
      <c r="X221" s="9">
        <f>'Model inputs'!X201*'Model inputs'!B261</f>
        <v>38.49175355728492</v>
      </c>
      <c r="Y221" s="9">
        <f>'Model inputs'!Y201*'Model inputs'!B261</f>
        <v>40.721918486139224</v>
      </c>
      <c r="Z221" s="9">
        <f>'Model inputs'!Z201*'Model inputs'!B261</f>
        <v>42.90748011641644</v>
      </c>
      <c r="AA221" s="9">
        <f>'Model inputs'!AA201*'Model inputs'!B261</f>
        <v>45.049330514088105</v>
      </c>
      <c r="AB221" s="9">
        <f>'Model inputs'!AB201*'Model inputs'!B261</f>
        <v>47.14834390380634</v>
      </c>
      <c r="AC221" s="9">
        <f>'Model inputs'!AC201*'Model inputs'!B261</f>
        <v>49.205377025730215</v>
      </c>
      <c r="AD221" s="9">
        <f>'Model inputs'!AD201*'Model inputs'!B261</f>
        <v>51.22126948521561</v>
      </c>
      <c r="AE221" s="9">
        <f>'Model inputs'!AE201*'Model inputs'!B261</f>
        <v>53.196844095511295</v>
      </c>
      <c r="AF221" s="9">
        <f>'Model inputs'!AF201*'Model inputs'!B261</f>
        <v>55.13290721360107</v>
      </c>
      <c r="AG221" s="9">
        <f>'Model inputs'!AG201*'Model inputs'!B261</f>
        <v>57.03024906932905</v>
      </c>
      <c r="AH221" s="9">
        <f>'Model inputs'!AH201*'Model inputs'!B261</f>
        <v>58.88964408794247</v>
      </c>
      <c r="AI221" s="9">
        <f>'Model inputs'!AI201*'Model inputs'!B261</f>
        <v>60.711851206183624</v>
      </c>
    </row>
    <row r="222">
      <c r="A222" t="inlineStr" s="22">
        <is>
          <t xml:space="preserve">Merchant support cost</t>
        </is>
      </c>
      <c r="C222" s="6">
        <f>IF('Model inputs'!C163="","",'Model inputs'!C163)</f>
        <v>0</v>
      </c>
      <c r="D222" s="6">
        <f>IF('Model inputs'!D163="","",'Model inputs'!D163)</f>
        <v>0</v>
      </c>
      <c r="E222" s="6">
        <f>IF('Model inputs'!E163="","",'Model inputs'!E163)</f>
        <v>0</v>
      </c>
      <c r="F222" s="6">
        <f>IF('Model inputs'!F163="","",'Model inputs'!F163)</f>
        <v>0</v>
      </c>
      <c r="G222" s="6">
        <f>IF('Model inputs'!G163="","",'Model inputs'!G163)</f>
        <v>0</v>
      </c>
      <c r="H222" s="6">
        <f>IF('Model inputs'!H163="","",'Model inputs'!H163)</f>
        <v>0</v>
      </c>
      <c r="I222" s="6">
        <f>IF('Model inputs'!I163="","",'Model inputs'!I163)</f>
        <v>0</v>
      </c>
      <c r="J222" s="6">
        <f>IF('Model inputs'!J163="","",'Model inputs'!J163)</f>
        <v>0</v>
      </c>
      <c r="K222" s="6">
        <f>IF('Model inputs'!K163="","",'Model inputs'!K163)</f>
        <v>0</v>
      </c>
      <c r="L222" s="6">
        <f>IF('Model inputs'!L163="","",'Model inputs'!L163)</f>
        <v>131.25</v>
      </c>
      <c r="M222" s="6">
        <f>IF('Model inputs'!M163="","",'Model inputs'!M163)</f>
        <v>148.97500000000002</v>
      </c>
      <c r="N222" s="6">
        <f>IF('Model inputs'!N163="","",'Model inputs'!N163)</f>
        <v>165.7315</v>
      </c>
      <c r="O222" s="6">
        <f>IF('Model inputs'!O163="","",'Model inputs'!O163)</f>
        <v>181.57286</v>
      </c>
      <c r="P222" s="6">
        <f>IF('Model inputs'!P163="","",'Model inputs'!P163)</f>
        <v>196.5494759</v>
      </c>
      <c r="Q222" s="6">
        <f>IF('Model inputs'!Q163="","",'Model inputs'!Q163)</f>
        <v>210.708945471</v>
      </c>
      <c r="R222" s="6">
        <f>IF('Model inputs'!R163="","",'Model inputs'!R163)</f>
        <v>224.09622496148998</v>
      </c>
      <c r="S222" s="6">
        <f>IF('Model inputs'!S163="","",'Model inputs'!S163)</f>
        <v>236.75377687161307</v>
      </c>
      <c r="T222" s="6">
        <f>IF('Model inputs'!T163="","",'Model inputs'!T163)</f>
        <v>248.72170939673816</v>
      </c>
      <c r="U222" s="6">
        <f>IF('Model inputs'!U163="","",'Model inputs'!U163)</f>
        <v>260.03790801348464</v>
      </c>
      <c r="V222" s="6">
        <f>IF('Model inputs'!V163="","",'Model inputs'!V163)</f>
        <v>270.73815965419885</v>
      </c>
      <c r="W222" s="6">
        <f>IF('Model inputs'!W163="","",'Model inputs'!W163)</f>
        <v>280.85626989039395</v>
      </c>
      <c r="X222" s="6">
        <f>IF('Model inputs'!X163="","",'Model inputs'!X163)</f>
        <v>290.42417352164506</v>
      </c>
      <c r="Y222" s="6">
        <f>IF('Model inputs'!Y163="","",'Model inputs'!Y163)</f>
        <v>299.47203894378737</v>
      </c>
      <c r="Z222" s="6">
        <f>IF('Model inputs'!Z163="","",'Model inputs'!Z163)</f>
        <v>308.0283666489291</v>
      </c>
      <c r="AA222" s="6">
        <f>IF('Model inputs'!AA163="","",'Model inputs'!AA163)</f>
        <v>316.12008218967384</v>
      </c>
      <c r="AB222" s="6">
        <f>IF('Model inputs'!AB163="","",'Model inputs'!AB163)</f>
        <v>323.7726239209899</v>
      </c>
      <c r="AC222" s="6">
        <f>IF('Model inputs'!AC163="","",'Model inputs'!AC163)</f>
        <v>331.0100258152921</v>
      </c>
      <c r="AD222" s="6">
        <f>IF('Model inputs'!AD163="","",'Model inputs'!AD163)</f>
        <v>337.85499562945813</v>
      </c>
      <c r="AE222" s="6">
        <f>IF('Model inputs'!AE163="","",'Model inputs'!AE163)</f>
        <v>344.32898868662005</v>
      </c>
      <c r="AF222" s="6">
        <f>IF('Model inputs'!AF163="","",'Model inputs'!AF163)</f>
        <v>350.4522775206058</v>
      </c>
      <c r="AG222" s="6">
        <f>IF('Model inputs'!AG163="","",'Model inputs'!AG163)</f>
        <v>356.2440176167932</v>
      </c>
      <c r="AH222" s="6">
        <f>IF('Model inputs'!AH163="","",'Model inputs'!AH163)</f>
        <v>361.72230946983814</v>
      </c>
      <c r="AI222" s="6">
        <f>IF('Model inputs'!AI163="","",'Model inputs'!AI163)</f>
        <v>366.9042571661979</v>
      </c>
    </row>
    <row r="223" outlineLevel="1">
      <c r="A223" t="inlineStr" s="23">
        <is>
          <t xml:space="preserve">Merchant support cost &gt; Growing shop</t>
        </is>
      </c>
      <c r="C223" s="9">
        <f>'Model inputs'!C138</f>
        <v>0</v>
      </c>
      <c r="D223" s="9">
        <f>'Model inputs'!D138</f>
        <v>0</v>
      </c>
      <c r="E223" s="9">
        <f>'Model inputs'!E138</f>
        <v>0</v>
      </c>
      <c r="F223" s="9">
        <f>'Model inputs'!F138</f>
        <v>0</v>
      </c>
      <c r="G223" s="9">
        <f>'Model inputs'!G138</f>
        <v>0</v>
      </c>
      <c r="H223" s="9">
        <f>'Model inputs'!H138</f>
        <v>0</v>
      </c>
      <c r="I223" s="9">
        <f>'Model inputs'!I138</f>
        <v>0</v>
      </c>
      <c r="J223" s="9">
        <f>'Model inputs'!J138</f>
        <v>0</v>
      </c>
      <c r="K223" s="9">
        <f>'SwapDesk — Operations · Merchan'!B48</f>
        <v>0</v>
      </c>
      <c r="L223" s="9">
        <f>'Model inputs'!L197*'Model inputs'!B287/60*'Model inputs'!B292</f>
        <v>60</v>
      </c>
      <c r="M223" s="9">
        <f>'Model inputs'!M197*'Model inputs'!B287/60*'Model inputs'!B292</f>
        <v>69.5</v>
      </c>
      <c r="N223" s="9">
        <f>'Model inputs'!N197*'Model inputs'!B287/60*'Model inputs'!B292</f>
        <v>78.525</v>
      </c>
      <c r="O223" s="9">
        <f>'Model inputs'!O197*'Model inputs'!B287/60*'Model inputs'!B292</f>
        <v>87.09875</v>
      </c>
      <c r="P223" s="9">
        <f>'Model inputs'!P197*'Model inputs'!B287/60*'Model inputs'!B292</f>
        <v>95.2438125</v>
      </c>
      <c r="Q223" s="9">
        <f>'Model inputs'!Q197*'Model inputs'!B287/60*'Model inputs'!B292</f>
        <v>102.981621875</v>
      </c>
      <c r="R223" s="9">
        <f>'Model inputs'!R197*'Model inputs'!B287/60*'Model inputs'!B292</f>
        <v>110.33254078124999</v>
      </c>
      <c r="S223" s="9">
        <f>'Model inputs'!S197*'Model inputs'!B287/60*'Model inputs'!B292</f>
        <v>117.31591374218746</v>
      </c>
      <c r="T223" s="9">
        <f>'Model inputs'!T197*'Model inputs'!B287/60*'Model inputs'!B292</f>
        <v>123.95011805507812</v>
      </c>
      <c r="U223" s="9">
        <f>'Model inputs'!U197*'Model inputs'!B287/60*'Model inputs'!B292</f>
        <v>130.25261215232422</v>
      </c>
      <c r="V223" s="9">
        <f>'Model inputs'!V197*'Model inputs'!B287/60*'Model inputs'!B292</f>
        <v>136.239981544708</v>
      </c>
      <c r="W223" s="9">
        <f>'Model inputs'!W197*'Model inputs'!B287/60*'Model inputs'!B292</f>
        <v>141.9279824674726</v>
      </c>
      <c r="X223" s="9">
        <f>'Model inputs'!X197*'Model inputs'!B287/60*'Model inputs'!B292</f>
        <v>147.33158334409896</v>
      </c>
      <c r="Y223" s="9">
        <f>'Model inputs'!Y197*'Model inputs'!B287/60*'Model inputs'!B292</f>
        <v>152.465004176894</v>
      </c>
      <c r="Z223" s="9">
        <f>'Model inputs'!Z197*'Model inputs'!B287/60*'Model inputs'!B292</f>
        <v>157.34175396804932</v>
      </c>
      <c r="AA223" s="9">
        <f>'Model inputs'!AA197*'Model inputs'!B287/60*'Model inputs'!B292</f>
        <v>161.97466626964686</v>
      </c>
      <c r="AB223" s="9">
        <f>'Model inputs'!AB197*'Model inputs'!B287/60*'Model inputs'!B292</f>
        <v>166.37593295616452</v>
      </c>
      <c r="AC223" s="9">
        <f>'Model inputs'!AC197*'Model inputs'!B287/60*'Model inputs'!B292</f>
        <v>170.55713630835626</v>
      </c>
      <c r="AD223" s="9">
        <f>'Model inputs'!AD197*'Model inputs'!B287/60*'Model inputs'!B292</f>
        <v>174.52927949293846</v>
      </c>
      <c r="AE223" s="9">
        <f>'Model inputs'!AE197*'Model inputs'!B287/60*'Model inputs'!B292</f>
        <v>178.30281551829154</v>
      </c>
      <c r="AF223" s="9">
        <f>'Model inputs'!AF197*'Model inputs'!B287/60*'Model inputs'!B292</f>
        <v>181.88767474237696</v>
      </c>
      <c r="AG223" s="9">
        <f>'Model inputs'!AG197*'Model inputs'!B287/60*'Model inputs'!B292</f>
        <v>185.29329100525814</v>
      </c>
      <c r="AH223" s="9">
        <f>'Model inputs'!AH197*'Model inputs'!B287/60*'Model inputs'!B292</f>
        <v>188.52862645499522</v>
      </c>
      <c r="AI223" s="9">
        <f>'Model inputs'!AI197*'Model inputs'!B287/60*'Model inputs'!B292</f>
        <v>191.60219513224547</v>
      </c>
    </row>
    <row r="224" outlineLevel="1">
      <c r="A224" t="inlineStr" s="23">
        <is>
          <t xml:space="preserve">Merchant support cost &gt; Small shop</t>
        </is>
      </c>
      <c r="C224" s="9">
        <f>'Model inputs'!C139</f>
        <v>0</v>
      </c>
      <c r="D224" s="9">
        <f>'Model inputs'!D139</f>
        <v>0</v>
      </c>
      <c r="E224" s="9">
        <f>'Model inputs'!E139</f>
        <v>0</v>
      </c>
      <c r="F224" s="9">
        <f>'Model inputs'!F139</f>
        <v>0</v>
      </c>
      <c r="G224" s="9">
        <f>'Model inputs'!G139</f>
        <v>0</v>
      </c>
      <c r="H224" s="9">
        <f>'Model inputs'!H139</f>
        <v>0</v>
      </c>
      <c r="I224" s="9">
        <f>'Model inputs'!I139</f>
        <v>0</v>
      </c>
      <c r="J224" s="9">
        <f>'Model inputs'!J139</f>
        <v>0</v>
      </c>
      <c r="K224" s="9">
        <f>'SwapDesk — Operations · Merchan'!B49</f>
        <v>0</v>
      </c>
      <c r="L224" s="9">
        <f>'Model inputs'!L198*'Model inputs'!B288/60*'Model inputs'!B292</f>
        <v>71.25</v>
      </c>
      <c r="M224" s="9">
        <f>'Model inputs'!M198*'Model inputs'!B288/60*'Model inputs'!B292</f>
        <v>79.47500000000001</v>
      </c>
      <c r="N224" s="9">
        <f>'Model inputs'!N198*'Model inputs'!B288/60*'Model inputs'!B292</f>
        <v>87.2065</v>
      </c>
      <c r="O224" s="9">
        <f>'Model inputs'!O198*'Model inputs'!B288/60*'Model inputs'!B292</f>
        <v>94.47411000000001</v>
      </c>
      <c r="P224" s="9">
        <f>'Model inputs'!P198*'Model inputs'!B288/60*'Model inputs'!B292</f>
        <v>101.3056634</v>
      </c>
      <c r="Q224" s="9">
        <f>'Model inputs'!Q198*'Model inputs'!B288/60*'Model inputs'!B292</f>
        <v>107.72732359599999</v>
      </c>
      <c r="R224" s="9">
        <f>'Model inputs'!R198*'Model inputs'!B288/60*'Model inputs'!B292</f>
        <v>113.76368418023999</v>
      </c>
      <c r="S224" s="9">
        <f>'Model inputs'!S198*'Model inputs'!B288/60*'Model inputs'!B292</f>
        <v>119.4378631294256</v>
      </c>
      <c r="T224" s="9">
        <f>'Model inputs'!T198*'Model inputs'!B288/60*'Model inputs'!B292</f>
        <v>124.77159134166004</v>
      </c>
      <c r="U224" s="9">
        <f>'Model inputs'!U198*'Model inputs'!B288/60*'Model inputs'!B292</f>
        <v>129.78529586116045</v>
      </c>
      <c r="V224" s="9">
        <f>'Model inputs'!V198*'Model inputs'!B288/60*'Model inputs'!B292</f>
        <v>134.49817810949082</v>
      </c>
      <c r="W224" s="9">
        <f>'Model inputs'!W198*'Model inputs'!B288/60*'Model inputs'!B292</f>
        <v>138.9282874229214</v>
      </c>
      <c r="X224" s="9">
        <f>'Model inputs'!X198*'Model inputs'!B288/60*'Model inputs'!B292</f>
        <v>143.0925901775461</v>
      </c>
      <c r="Y224" s="9">
        <f>'Model inputs'!Y198*'Model inputs'!B288/60*'Model inputs'!B292</f>
        <v>147.00703476689336</v>
      </c>
      <c r="Z224" s="9">
        <f>'Model inputs'!Z198*'Model inputs'!B288/60*'Model inputs'!B292</f>
        <v>150.68661268087976</v>
      </c>
      <c r="AA224" s="9">
        <f>'Model inputs'!AA198*'Model inputs'!B288/60*'Model inputs'!B292</f>
        <v>154.14541592002698</v>
      </c>
      <c r="AB224" s="9">
        <f>'Model inputs'!AB198*'Model inputs'!B288/60*'Model inputs'!B292</f>
        <v>157.39669096482535</v>
      </c>
      <c r="AC224" s="9">
        <f>'Model inputs'!AC198*'Model inputs'!B288/60*'Model inputs'!B292</f>
        <v>160.45288950693583</v>
      </c>
      <c r="AD224" s="9">
        <f>'Model inputs'!AD198*'Model inputs'!B288/60*'Model inputs'!B292</f>
        <v>163.3257161365197</v>
      </c>
      <c r="AE224" s="9">
        <f>'Model inputs'!AE198*'Model inputs'!B288/60*'Model inputs'!B292</f>
        <v>166.0261731683285</v>
      </c>
      <c r="AF224" s="9">
        <f>'Model inputs'!AF198*'Model inputs'!B288/60*'Model inputs'!B292</f>
        <v>168.5646027782288</v>
      </c>
      <c r="AG224" s="9">
        <f>'Model inputs'!AG198*'Model inputs'!B288/60*'Model inputs'!B292</f>
        <v>170.95072661153506</v>
      </c>
      <c r="AH224" s="9">
        <f>'Model inputs'!AH198*'Model inputs'!B288/60*'Model inputs'!B292</f>
        <v>173.19368301484295</v>
      </c>
      <c r="AI224" s="9">
        <f>'Model inputs'!AI198*'Model inputs'!B288/60*'Model inputs'!B292</f>
        <v>175.3020620339524</v>
      </c>
    </row>
    <row r="225">
      <c r="A225" t="inlineStr" s="22">
        <is>
          <t xml:space="preserve">Merchant support cost</t>
        </is>
      </c>
      <c r="C225" s="6">
        <f>IF('Model inputs'!C164="","",'Model inputs'!C164)</f>
        <v>0</v>
      </c>
      <c r="D225" s="6">
        <f>IF('Model inputs'!D164="","",'Model inputs'!D164)</f>
        <v>0</v>
      </c>
      <c r="E225" s="6">
        <f>IF('Model inputs'!E164="","",'Model inputs'!E164)</f>
        <v>0</v>
      </c>
      <c r="F225" s="6">
        <f>IF('Model inputs'!F164="","",'Model inputs'!F164)</f>
        <v>0</v>
      </c>
      <c r="G225" s="6">
        <f>IF('Model inputs'!G164="","",'Model inputs'!G164)</f>
        <v>0</v>
      </c>
      <c r="H225" s="6">
        <f>IF('Model inputs'!H164="","",'Model inputs'!H164)</f>
        <v>0</v>
      </c>
      <c r="I225" s="6">
        <f>IF('Model inputs'!I164="","",'Model inputs'!I164)</f>
        <v>0</v>
      </c>
      <c r="J225" s="6">
        <f>IF('Model inputs'!J164="","",'Model inputs'!J164)</f>
        <v>0</v>
      </c>
      <c r="K225" s="6">
        <f>IF('Model inputs'!K164="","",'Model inputs'!K164)</f>
        <v>0</v>
      </c>
      <c r="L225" s="6">
        <f>IF('Model inputs'!L164="","",'Model inputs'!L164)</f>
        <v>92.75</v>
      </c>
      <c r="M225" s="6">
        <f>IF('Model inputs'!M164="","",'Model inputs'!M164)</f>
        <v>128.611875</v>
      </c>
      <c r="N225" s="6">
        <f>IF('Model inputs'!N164="","",'Model inputs'!N164)</f>
        <v>163.847009375</v>
      </c>
      <c r="O225" s="6">
        <f>IF('Model inputs'!O164="","",'Model inputs'!O164)</f>
        <v>198.46658048437502</v>
      </c>
      <c r="P225" s="6">
        <f>IF('Model inputs'!P164="","",'Model inputs'!P164)</f>
        <v>232.4815625021094</v>
      </c>
      <c r="Q225" s="6">
        <f>IF('Model inputs'!Q164="","",'Model inputs'!Q164)</f>
        <v>265.90273017507775</v>
      </c>
      <c r="R225" s="6">
        <f>IF('Model inputs'!R164="","",'Model inputs'!R164)</f>
        <v>298.7406625107416</v>
      </c>
      <c r="S225" s="6">
        <f>IF('Model inputs'!S164="","",'Model inputs'!S164)</f>
        <v>331.00574639560466</v>
      </c>
      <c r="T225" s="6">
        <f>IF('Model inputs'!T164="","",'Model inputs'!T164)</f>
        <v>362.7081801457443</v>
      </c>
      <c r="U225" s="6">
        <f>IF('Model inputs'!U164="","",'Model inputs'!U164)</f>
        <v>393.8579769907104</v>
      </c>
      <c r="V225" s="6">
        <f>IF('Model inputs'!V164="","",'Model inputs'!V164)</f>
        <v>424.4649684920589</v>
      </c>
      <c r="W225" s="6">
        <f>IF('Model inputs'!W164="","",'Model inputs'!W164)</f>
        <v>454.53880789776304</v>
      </c>
      <c r="X225" s="6">
        <f>IF('Model inputs'!X164="","",'Model inputs'!X164)</f>
        <v>484.08897343371984</v>
      </c>
      <c r="Y225" s="6">
        <f>IF('Model inputs'!Y164="","",'Model inputs'!Y164)</f>
        <v>513.1247715335489</v>
      </c>
      <c r="Z225" s="6">
        <f>IF('Model inputs'!Z164="","",'Model inputs'!Z164)</f>
        <v>541.6553400078539</v>
      </c>
      <c r="AA225" s="6">
        <f>IF('Model inputs'!AA164="","",'Model inputs'!AA164)</f>
        <v>569.6896511540981</v>
      </c>
      <c r="AB225" s="6">
        <f>IF('Model inputs'!AB164="","",'Model inputs'!AB164)</f>
        <v>597.2365148082213</v>
      </c>
      <c r="AC225" s="6">
        <f>IF('Model inputs'!AC164="","",'Model inputs'!AC164)</f>
        <v>624.3045813391041</v>
      </c>
      <c r="AD225" s="6">
        <f>IF('Model inputs'!AD164="","",'Model inputs'!AD164)</f>
        <v>650.9023445869633</v>
      </c>
      <c r="AE225" s="6">
        <f>IF('Model inputs'!AE164="","",'Model inputs'!AE164)</f>
        <v>677.038144746746</v>
      </c>
      <c r="AF225" s="6">
        <f>IF('Model inputs'!AF164="","",'Model inputs'!AF164)</f>
        <v>702.7201711975599</v>
      </c>
      <c r="AG225" s="6">
        <f>IF('Model inputs'!AG164="","",'Model inputs'!AG164)</f>
        <v>727.9564652791715</v>
      </c>
      <c r="AH225" s="6">
        <f>IF('Model inputs'!AH164="","",'Model inputs'!AH164)</f>
        <v>752.7549230165674</v>
      </c>
      <c r="AI225" s="6">
        <f>IF('Model inputs'!AI164="","",'Model inputs'!AI164)</f>
        <v>777.1232977935708</v>
      </c>
    </row>
    <row r="226" outlineLevel="1">
      <c r="A226" t="inlineStr" s="23">
        <is>
          <t xml:space="preserve">Merchant support cost &gt; Growing shop</t>
        </is>
      </c>
      <c r="C226" s="9">
        <f>'Model inputs'!C138</f>
        <v>0</v>
      </c>
      <c r="D226" s="9">
        <f>'Model inputs'!D138</f>
        <v>0</v>
      </c>
      <c r="E226" s="9">
        <f>'Model inputs'!E138</f>
        <v>0</v>
      </c>
      <c r="F226" s="9">
        <f>'Model inputs'!F138</f>
        <v>0</v>
      </c>
      <c r="G226" s="9">
        <f>'Model inputs'!G138</f>
        <v>0</v>
      </c>
      <c r="H226" s="9">
        <f>'Model inputs'!H138</f>
        <v>0</v>
      </c>
      <c r="I226" s="9">
        <f>'Model inputs'!I138</f>
        <v>0</v>
      </c>
      <c r="J226" s="9">
        <f>'Model inputs'!J138</f>
        <v>0</v>
      </c>
      <c r="K226" s="9">
        <f>'SwapDesk — Operations · Merchan'!B48</f>
        <v>0</v>
      </c>
      <c r="L226" s="9">
        <f>'Model inputs'!L200*'Model inputs'!B290/60*'Model inputs'!B293</f>
        <v>43.375</v>
      </c>
      <c r="M226" s="9">
        <f>'Model inputs'!M200*'Model inputs'!B290/60*'Model inputs'!B293</f>
        <v>61.474375</v>
      </c>
      <c r="N226" s="9">
        <f>'Model inputs'!N200*'Model inputs'!B290/60*'Model inputs'!B293</f>
        <v>79.30225937499999</v>
      </c>
      <c r="O226" s="9">
        <f>'Model inputs'!O200*'Model inputs'!B290/60*'Model inputs'!B293</f>
        <v>96.862725484375</v>
      </c>
      <c r="P226" s="9">
        <f>'Model inputs'!P200*'Model inputs'!B290/60*'Model inputs'!B293</f>
        <v>114.15978460210938</v>
      </c>
      <c r="Q226" s="9">
        <f>'Model inputs'!Q200*'Model inputs'!B290/60*'Model inputs'!B293</f>
        <v>131.19738783307776</v>
      </c>
      <c r="R226" s="9">
        <f>'Model inputs'!R200*'Model inputs'!B290/60*'Model inputs'!B293</f>
        <v>147.97942701558156</v>
      </c>
      <c r="S226" s="9">
        <f>'Model inputs'!S200*'Model inputs'!B290/60*'Model inputs'!B293</f>
        <v>164.50973561034786</v>
      </c>
      <c r="T226" s="9">
        <f>'Model inputs'!T200*'Model inputs'!B290/60*'Model inputs'!B293</f>
        <v>180.7920895761926</v>
      </c>
      <c r="U226" s="9">
        <f>'Model inputs'!U200*'Model inputs'!B290/60*'Model inputs'!B293</f>
        <v>196.83020823254975</v>
      </c>
      <c r="V226" s="9">
        <f>'Model inputs'!V200*'Model inputs'!B290/60*'Model inputs'!B293</f>
        <v>212.6277551090615</v>
      </c>
      <c r="W226" s="9">
        <f>'Model inputs'!W200*'Model inputs'!B290/60*'Model inputs'!B293</f>
        <v>228.1883387824255</v>
      </c>
      <c r="X226" s="9">
        <f>'Model inputs'!X200*'Model inputs'!B290/60*'Model inputs'!B293</f>
        <v>243.5155137006891</v>
      </c>
      <c r="Y226" s="9">
        <f>'Model inputs'!Y200*'Model inputs'!B290/60*'Model inputs'!B293</f>
        <v>258.6127809951788</v>
      </c>
      <c r="Z226" s="9">
        <f>'Model inputs'!Z200*'Model inputs'!B290/60*'Model inputs'!B293</f>
        <v>273.4835892802511</v>
      </c>
      <c r="AA226" s="9">
        <f>'Model inputs'!AA200*'Model inputs'!B290/60*'Model inputs'!B293</f>
        <v>288.1313354410474</v>
      </c>
      <c r="AB226" s="9">
        <f>'Model inputs'!AB200*'Model inputs'!B290/60*'Model inputs'!B293</f>
        <v>302.5593654094317</v>
      </c>
      <c r="AC226" s="9">
        <f>'Model inputs'!AC200*'Model inputs'!B290/60*'Model inputs'!B293</f>
        <v>316.7709749282902</v>
      </c>
      <c r="AD226" s="9">
        <f>'Model inputs'!AD200*'Model inputs'!B290/60*'Model inputs'!B293</f>
        <v>330.7694103043658</v>
      </c>
      <c r="AE226" s="9">
        <f>'Model inputs'!AE200*'Model inputs'!B290/60*'Model inputs'!B293</f>
        <v>344.5578691498003</v>
      </c>
      <c r="AF226" s="9">
        <f>'Model inputs'!AF200*'Model inputs'!B290/60*'Model inputs'!B293</f>
        <v>358.13950111255326</v>
      </c>
      <c r="AG226" s="9">
        <f>'Model inputs'!AG200*'Model inputs'!B290/60*'Model inputs'!B293</f>
        <v>371.517408595865</v>
      </c>
      <c r="AH226" s="9">
        <f>'Model inputs'!AH200*'Model inputs'!B290/60*'Model inputs'!B293</f>
        <v>384.694647466927</v>
      </c>
      <c r="AI226" s="9">
        <f>'Model inputs'!AI200*'Model inputs'!B290/60*'Model inputs'!B293</f>
        <v>397.6742277549231</v>
      </c>
    </row>
    <row r="227" outlineLevel="1">
      <c r="A227" t="inlineStr" s="23">
        <is>
          <t xml:space="preserve">Merchant support cost &gt; Small shop</t>
        </is>
      </c>
      <c r="C227" s="9">
        <f>'Model inputs'!C139</f>
        <v>0</v>
      </c>
      <c r="D227" s="9">
        <f>'Model inputs'!D139</f>
        <v>0</v>
      </c>
      <c r="E227" s="9">
        <f>'Model inputs'!E139</f>
        <v>0</v>
      </c>
      <c r="F227" s="9">
        <f>'Model inputs'!F139</f>
        <v>0</v>
      </c>
      <c r="G227" s="9">
        <f>'Model inputs'!G139</f>
        <v>0</v>
      </c>
      <c r="H227" s="9">
        <f>'Model inputs'!H139</f>
        <v>0</v>
      </c>
      <c r="I227" s="9">
        <f>'Model inputs'!I139</f>
        <v>0</v>
      </c>
      <c r="J227" s="9">
        <f>'Model inputs'!J139</f>
        <v>0</v>
      </c>
      <c r="K227" s="9">
        <f>'SwapDesk — Operations · Merchan'!B49</f>
        <v>0</v>
      </c>
      <c r="L227" s="9">
        <f>'Model inputs'!L201*'Model inputs'!B291/60*'Model inputs'!B293</f>
        <v>49.375</v>
      </c>
      <c r="M227" s="9">
        <f>'Model inputs'!M201*'Model inputs'!B291/60*'Model inputs'!B293</f>
        <v>67.1375</v>
      </c>
      <c r="N227" s="9">
        <f>'Model inputs'!N201*'Model inputs'!B291/60*'Model inputs'!B293</f>
        <v>84.54475000000001</v>
      </c>
      <c r="O227" s="9">
        <f>'Model inputs'!O201*'Model inputs'!B291/60*'Model inputs'!B293</f>
        <v>101.60385500000002</v>
      </c>
      <c r="P227" s="9">
        <f>'Model inputs'!P201*'Model inputs'!B291/60*'Model inputs'!B293</f>
        <v>118.32177790000003</v>
      </c>
      <c r="Q227" s="9">
        <f>'Model inputs'!Q201*'Model inputs'!B291/60*'Model inputs'!B293</f>
        <v>134.70534234200002</v>
      </c>
      <c r="R227" s="9">
        <f>'Model inputs'!R201*'Model inputs'!B291/60*'Model inputs'!B293</f>
        <v>150.76123549516004</v>
      </c>
      <c r="S227" s="9">
        <f>'Model inputs'!S201*'Model inputs'!B291/60*'Model inputs'!B293</f>
        <v>166.49601078525683</v>
      </c>
      <c r="T227" s="9">
        <f>'Model inputs'!T201*'Model inputs'!B291/60*'Model inputs'!B293</f>
        <v>181.91609056955167</v>
      </c>
      <c r="U227" s="9">
        <f>'Model inputs'!U201*'Model inputs'!B291/60*'Model inputs'!B293</f>
        <v>197.02776875816065</v>
      </c>
      <c r="V227" s="9">
        <f>'Model inputs'!V201*'Model inputs'!B291/60*'Model inputs'!B293</f>
        <v>211.83721338299745</v>
      </c>
      <c r="W227" s="9">
        <f>'Model inputs'!W201*'Model inputs'!B291/60*'Model inputs'!B293</f>
        <v>226.35046911533752</v>
      </c>
      <c r="X227" s="9">
        <f>'Model inputs'!X201*'Model inputs'!B291/60*'Model inputs'!B293</f>
        <v>240.57345973303077</v>
      </c>
      <c r="Y227" s="9">
        <f>'Model inputs'!Y201*'Model inputs'!B291/60*'Model inputs'!B293</f>
        <v>254.51199053837016</v>
      </c>
      <c r="Z227" s="9">
        <f>'Model inputs'!Z201*'Model inputs'!B291/60*'Model inputs'!B293</f>
        <v>268.1717507276027</v>
      </c>
      <c r="AA227" s="9">
        <f>'Model inputs'!AA201*'Model inputs'!B291/60*'Model inputs'!B293</f>
        <v>281.55831571305066</v>
      </c>
      <c r="AB227" s="9">
        <f>'Model inputs'!AB201*'Model inputs'!B291/60*'Model inputs'!B293</f>
        <v>294.67714939878965</v>
      </c>
      <c r="AC227" s="9">
        <f>'Model inputs'!AC201*'Model inputs'!B291/60*'Model inputs'!B293</f>
        <v>307.53360641081383</v>
      </c>
      <c r="AD227" s="9">
        <f>'Model inputs'!AD201*'Model inputs'!B291/60*'Model inputs'!B293</f>
        <v>320.1329342825975</v>
      </c>
      <c r="AE227" s="9">
        <f>'Model inputs'!AE201*'Model inputs'!B291/60*'Model inputs'!B293</f>
        <v>332.4802755969456</v>
      </c>
      <c r="AF227" s="9">
        <f>'Model inputs'!AF201*'Model inputs'!B291/60*'Model inputs'!B293</f>
        <v>344.58067008500666</v>
      </c>
      <c r="AG227" s="9">
        <f>'Model inputs'!AG201*'Model inputs'!B291/60*'Model inputs'!B293</f>
        <v>356.43905668330655</v>
      </c>
      <c r="AH227" s="9">
        <f>'Model inputs'!AH201*'Model inputs'!B291/60*'Model inputs'!B293</f>
        <v>368.06027554964044</v>
      </c>
      <c r="AI227" s="9">
        <f>'Model inputs'!AI201*'Model inputs'!B291/60*'Model inputs'!B293</f>
        <v>379.4490700386477</v>
      </c>
    </row>
    <row r="228">
      <c r="A228" t="inlineStr" s="22">
        <is>
          <t xml:space="preserve">Onboarding cost</t>
        </is>
      </c>
      <c r="C228" s="6">
        <f>IF('Model inputs'!C165="","",'Model inputs'!C165)</f>
        <v>0</v>
      </c>
      <c r="D228" s="6">
        <f>IF('Model inputs'!D165="","",'Model inputs'!D165)</f>
        <v>0</v>
      </c>
      <c r="E228" s="6">
        <f>IF('Model inputs'!E165="","",'Model inputs'!E165)</f>
        <v>0</v>
      </c>
      <c r="F228" s="6">
        <f>IF('Model inputs'!F165="","",'Model inputs'!F165)</f>
        <v>0</v>
      </c>
      <c r="G228" s="6">
        <f>IF('Model inputs'!G165="","",'Model inputs'!G165)</f>
        <v>0</v>
      </c>
      <c r="H228" s="6">
        <f>IF('Model inputs'!H165="","",'Model inputs'!H165)</f>
        <v>0</v>
      </c>
      <c r="I228" s="6">
        <f>IF('Model inputs'!I165="","",'Model inputs'!I165)</f>
        <v>0</v>
      </c>
      <c r="J228" s="6">
        <f>IF('Model inputs'!J165="","",'Model inputs'!J165)</f>
        <v>0</v>
      </c>
      <c r="K228" s="6">
        <f>IF('Model inputs'!K165="","",'Model inputs'!K165)</f>
        <v>0</v>
      </c>
      <c r="L228" s="6">
        <f>IF('Model inputs'!L165="","",'Model inputs'!L165)</f>
        <v>56.25</v>
      </c>
      <c r="M228" s="6">
        <f>IF('Model inputs'!M165="","",'Model inputs'!M165)</f>
        <v>56.25</v>
      </c>
      <c r="N228" s="6">
        <f>IF('Model inputs'!N165="","",'Model inputs'!N165)</f>
        <v>56.25</v>
      </c>
      <c r="O228" s="6">
        <f>IF('Model inputs'!O165="","",'Model inputs'!O165)</f>
        <v>56.25</v>
      </c>
      <c r="P228" s="6">
        <f>IF('Model inputs'!P165="","",'Model inputs'!P165)</f>
        <v>56.25</v>
      </c>
      <c r="Q228" s="6">
        <f>IF('Model inputs'!Q165="","",'Model inputs'!Q165)</f>
        <v>56.25</v>
      </c>
      <c r="R228" s="6">
        <f>IF('Model inputs'!R165="","",'Model inputs'!R165)</f>
        <v>56.25</v>
      </c>
      <c r="S228" s="6">
        <f>IF('Model inputs'!S165="","",'Model inputs'!S165)</f>
        <v>56.25</v>
      </c>
      <c r="T228" s="6">
        <f>IF('Model inputs'!T165="","",'Model inputs'!T165)</f>
        <v>56.25</v>
      </c>
      <c r="U228" s="6">
        <f>IF('Model inputs'!U165="","",'Model inputs'!U165)</f>
        <v>56.25</v>
      </c>
      <c r="V228" s="6">
        <f>IF('Model inputs'!V165="","",'Model inputs'!V165)</f>
        <v>56.25</v>
      </c>
      <c r="W228" s="6">
        <f>IF('Model inputs'!W165="","",'Model inputs'!W165)</f>
        <v>56.25</v>
      </c>
      <c r="X228" s="6">
        <f>IF('Model inputs'!X165="","",'Model inputs'!X165)</f>
        <v>56.25</v>
      </c>
      <c r="Y228" s="6">
        <f>IF('Model inputs'!Y165="","",'Model inputs'!Y165)</f>
        <v>56.25</v>
      </c>
      <c r="Z228" s="6">
        <f>IF('Model inputs'!Z165="","",'Model inputs'!Z165)</f>
        <v>56.25</v>
      </c>
      <c r="AA228" s="6">
        <f>IF('Model inputs'!AA165="","",'Model inputs'!AA165)</f>
        <v>56.25</v>
      </c>
      <c r="AB228" s="6">
        <f>IF('Model inputs'!AB165="","",'Model inputs'!AB165)</f>
        <v>56.25</v>
      </c>
      <c r="AC228" s="6">
        <f>IF('Model inputs'!AC165="","",'Model inputs'!AC165)</f>
        <v>56.25</v>
      </c>
      <c r="AD228" s="6">
        <f>IF('Model inputs'!AD165="","",'Model inputs'!AD165)</f>
        <v>56.25</v>
      </c>
      <c r="AE228" s="6">
        <f>IF('Model inputs'!AE165="","",'Model inputs'!AE165)</f>
        <v>56.25</v>
      </c>
      <c r="AF228" s="6">
        <f>IF('Model inputs'!AF165="","",'Model inputs'!AF165)</f>
        <v>56.25</v>
      </c>
      <c r="AG228" s="6">
        <f>IF('Model inputs'!AG165="","",'Model inputs'!AG165)</f>
        <v>56.25</v>
      </c>
      <c r="AH228" s="6">
        <f>IF('Model inputs'!AH165="","",'Model inputs'!AH165)</f>
        <v>56.25</v>
      </c>
      <c r="AI228" s="6">
        <f>IF('Model inputs'!AI165="","",'Model inputs'!AI165)</f>
        <v>56.25</v>
      </c>
    </row>
    <row r="229" outlineLevel="1">
      <c r="A229" t="inlineStr" s="23">
        <is>
          <t xml:space="preserve">Onboarding cost &gt; Growing shop</t>
        </is>
      </c>
      <c r="C229" s="9">
        <f>'Model inputs'!C133</f>
        <v>0</v>
      </c>
      <c r="D229" s="9">
        <f>'Model inputs'!D133</f>
        <v>0</v>
      </c>
      <c r="E229" s="9">
        <f>'Model inputs'!E133</f>
        <v>0</v>
      </c>
      <c r="F229" s="9">
        <f>'Model inputs'!F133</f>
        <v>0</v>
      </c>
      <c r="G229" s="9">
        <f>'Model inputs'!G133</f>
        <v>0</v>
      </c>
      <c r="H229" s="9">
        <f>'Model inputs'!H133</f>
        <v>0</v>
      </c>
      <c r="I229" s="9">
        <f>'Model inputs'!I133</f>
        <v>0</v>
      </c>
      <c r="J229" s="9">
        <f>'Model inputs'!J133</f>
        <v>0</v>
      </c>
      <c r="K229" s="9">
        <f>'SwapDesk — Operations · Merchan'!B51</f>
        <v>0</v>
      </c>
      <c r="L229" s="9">
        <f>'Model inputs'!L269*'Model inputs'!B274/60*'Model inputs'!B292</f>
        <v>18.75</v>
      </c>
      <c r="M229" s="9">
        <f>'Model inputs'!M269*'Model inputs'!B274/60*'Model inputs'!B292</f>
        <v>18.75</v>
      </c>
      <c r="N229" s="9">
        <f>'Model inputs'!N269*'Model inputs'!B274/60*'Model inputs'!B292</f>
        <v>18.75</v>
      </c>
      <c r="O229" s="9">
        <f>'Model inputs'!O269*'Model inputs'!B274/60*'Model inputs'!B292</f>
        <v>18.75</v>
      </c>
      <c r="P229" s="9">
        <f>'Model inputs'!P269*'Model inputs'!B274/60*'Model inputs'!B292</f>
        <v>18.75</v>
      </c>
      <c r="Q229" s="9">
        <f>'Model inputs'!Q269*'Model inputs'!B274/60*'Model inputs'!B292</f>
        <v>18.75</v>
      </c>
      <c r="R229" s="9">
        <f>'Model inputs'!R269*'Model inputs'!B274/60*'Model inputs'!B292</f>
        <v>18.75</v>
      </c>
      <c r="S229" s="9">
        <f>'Model inputs'!S269*'Model inputs'!B274/60*'Model inputs'!B292</f>
        <v>18.75</v>
      </c>
      <c r="T229" s="9">
        <f>'Model inputs'!T269*'Model inputs'!B274/60*'Model inputs'!B292</f>
        <v>18.75</v>
      </c>
      <c r="U229" s="9">
        <f>'Model inputs'!U269*'Model inputs'!B274/60*'Model inputs'!B292</f>
        <v>18.75</v>
      </c>
      <c r="V229" s="9">
        <f>'Model inputs'!V269*'Model inputs'!B274/60*'Model inputs'!B292</f>
        <v>18.75</v>
      </c>
      <c r="W229" s="9">
        <f>'Model inputs'!W269*'Model inputs'!B274/60*'Model inputs'!B292</f>
        <v>18.75</v>
      </c>
      <c r="X229" s="9">
        <f>'Model inputs'!X269*'Model inputs'!B274/60*'Model inputs'!B292</f>
        <v>18.75</v>
      </c>
      <c r="Y229" s="9">
        <f>'Model inputs'!Y269*'Model inputs'!B274/60*'Model inputs'!B292</f>
        <v>18.75</v>
      </c>
      <c r="Z229" s="9">
        <f>'Model inputs'!Z269*'Model inputs'!B274/60*'Model inputs'!B292</f>
        <v>18.75</v>
      </c>
      <c r="AA229" s="9">
        <f>'Model inputs'!AA269*'Model inputs'!B274/60*'Model inputs'!B292</f>
        <v>18.75</v>
      </c>
      <c r="AB229" s="9">
        <f>'Model inputs'!AB269*'Model inputs'!B274/60*'Model inputs'!B292</f>
        <v>18.75</v>
      </c>
      <c r="AC229" s="9">
        <f>'Model inputs'!AC269*'Model inputs'!B274/60*'Model inputs'!B292</f>
        <v>18.75</v>
      </c>
      <c r="AD229" s="9">
        <f>'Model inputs'!AD269*'Model inputs'!B274/60*'Model inputs'!B292</f>
        <v>18.75</v>
      </c>
      <c r="AE229" s="9">
        <f>'Model inputs'!AE269*'Model inputs'!B274/60*'Model inputs'!B292</f>
        <v>18.75</v>
      </c>
      <c r="AF229" s="9">
        <f>'Model inputs'!AF269*'Model inputs'!B274/60*'Model inputs'!B292</f>
        <v>18.75</v>
      </c>
      <c r="AG229" s="9">
        <f>'Model inputs'!AG269*'Model inputs'!B274/60*'Model inputs'!B292</f>
        <v>18.75</v>
      </c>
      <c r="AH229" s="9">
        <f>'Model inputs'!AH269*'Model inputs'!B274/60*'Model inputs'!B292</f>
        <v>18.75</v>
      </c>
      <c r="AI229" s="9">
        <f>'Model inputs'!AI269*'Model inputs'!B274/60*'Model inputs'!B292</f>
        <v>18.75</v>
      </c>
    </row>
    <row r="230" outlineLevel="1">
      <c r="A230" t="inlineStr" s="23">
        <is>
          <t xml:space="preserve">Onboarding cost &gt; Small shop</t>
        </is>
      </c>
      <c r="C230" s="9">
        <f>'Model inputs'!C134</f>
        <v>0</v>
      </c>
      <c r="D230" s="9">
        <f>'Model inputs'!D134</f>
        <v>0</v>
      </c>
      <c r="E230" s="9">
        <f>'Model inputs'!E134</f>
        <v>0</v>
      </c>
      <c r="F230" s="9">
        <f>'Model inputs'!F134</f>
        <v>0</v>
      </c>
      <c r="G230" s="9">
        <f>'Model inputs'!G134</f>
        <v>0</v>
      </c>
      <c r="H230" s="9">
        <f>'Model inputs'!H134</f>
        <v>0</v>
      </c>
      <c r="I230" s="9">
        <f>'Model inputs'!I134</f>
        <v>0</v>
      </c>
      <c r="J230" s="9">
        <f>'Model inputs'!J134</f>
        <v>0</v>
      </c>
      <c r="K230" s="9">
        <f>'SwapDesk — Operations · Merchan'!B52</f>
        <v>0</v>
      </c>
      <c r="L230" s="9">
        <f>'Model inputs'!L270*'Model inputs'!B274/60*'Model inputs'!B292</f>
        <v>37.5</v>
      </c>
      <c r="M230" s="9">
        <f>'Model inputs'!M270*'Model inputs'!B274/60*'Model inputs'!B292</f>
        <v>37.5</v>
      </c>
      <c r="N230" s="9">
        <f>'Model inputs'!N270*'Model inputs'!B274/60*'Model inputs'!B292</f>
        <v>37.5</v>
      </c>
      <c r="O230" s="9">
        <f>'Model inputs'!O270*'Model inputs'!B274/60*'Model inputs'!B292</f>
        <v>37.5</v>
      </c>
      <c r="P230" s="9">
        <f>'Model inputs'!P270*'Model inputs'!B274/60*'Model inputs'!B292</f>
        <v>37.5</v>
      </c>
      <c r="Q230" s="9">
        <f>'Model inputs'!Q270*'Model inputs'!B274/60*'Model inputs'!B292</f>
        <v>37.5</v>
      </c>
      <c r="R230" s="9">
        <f>'Model inputs'!R270*'Model inputs'!B274/60*'Model inputs'!B292</f>
        <v>37.5</v>
      </c>
      <c r="S230" s="9">
        <f>'Model inputs'!S270*'Model inputs'!B274/60*'Model inputs'!B292</f>
        <v>37.5</v>
      </c>
      <c r="T230" s="9">
        <f>'Model inputs'!T270*'Model inputs'!B274/60*'Model inputs'!B292</f>
        <v>37.5</v>
      </c>
      <c r="U230" s="9">
        <f>'Model inputs'!U270*'Model inputs'!B274/60*'Model inputs'!B292</f>
        <v>37.5</v>
      </c>
      <c r="V230" s="9">
        <f>'Model inputs'!V270*'Model inputs'!B274/60*'Model inputs'!B292</f>
        <v>37.5</v>
      </c>
      <c r="W230" s="9">
        <f>'Model inputs'!W270*'Model inputs'!B274/60*'Model inputs'!B292</f>
        <v>37.5</v>
      </c>
      <c r="X230" s="9">
        <f>'Model inputs'!X270*'Model inputs'!B274/60*'Model inputs'!B292</f>
        <v>37.5</v>
      </c>
      <c r="Y230" s="9">
        <f>'Model inputs'!Y270*'Model inputs'!B274/60*'Model inputs'!B292</f>
        <v>37.5</v>
      </c>
      <c r="Z230" s="9">
        <f>'Model inputs'!Z270*'Model inputs'!B274/60*'Model inputs'!B292</f>
        <v>37.5</v>
      </c>
      <c r="AA230" s="9">
        <f>'Model inputs'!AA270*'Model inputs'!B274/60*'Model inputs'!B292</f>
        <v>37.5</v>
      </c>
      <c r="AB230" s="9">
        <f>'Model inputs'!AB270*'Model inputs'!B274/60*'Model inputs'!B292</f>
        <v>37.5</v>
      </c>
      <c r="AC230" s="9">
        <f>'Model inputs'!AC270*'Model inputs'!B274/60*'Model inputs'!B292</f>
        <v>37.5</v>
      </c>
      <c r="AD230" s="9">
        <f>'Model inputs'!AD270*'Model inputs'!B274/60*'Model inputs'!B292</f>
        <v>37.5</v>
      </c>
      <c r="AE230" s="9">
        <f>'Model inputs'!AE270*'Model inputs'!B274/60*'Model inputs'!B292</f>
        <v>37.5</v>
      </c>
      <c r="AF230" s="9">
        <f>'Model inputs'!AF270*'Model inputs'!B274/60*'Model inputs'!B292</f>
        <v>37.5</v>
      </c>
      <c r="AG230" s="9">
        <f>'Model inputs'!AG270*'Model inputs'!B274/60*'Model inputs'!B292</f>
        <v>37.5</v>
      </c>
      <c r="AH230" s="9">
        <f>'Model inputs'!AH270*'Model inputs'!B274/60*'Model inputs'!B292</f>
        <v>37.5</v>
      </c>
      <c r="AI230" s="9">
        <f>'Model inputs'!AI270*'Model inputs'!B274/60*'Model inputs'!B292</f>
        <v>37.5</v>
      </c>
    </row>
    <row r="231">
      <c r="A231" t="inlineStr" s="22">
        <is>
          <t xml:space="preserve">Onboarding cost</t>
        </is>
      </c>
      <c r="C231" s="6">
        <f>IF('Model inputs'!C166="","",'Model inputs'!C166)</f>
        <v>0</v>
      </c>
      <c r="D231" s="6">
        <f>IF('Model inputs'!D166="","",'Model inputs'!D166)</f>
        <v>0</v>
      </c>
      <c r="E231" s="6">
        <f>IF('Model inputs'!E166="","",'Model inputs'!E166)</f>
        <v>0</v>
      </c>
      <c r="F231" s="6">
        <f>IF('Model inputs'!F166="","",'Model inputs'!F166)</f>
        <v>0</v>
      </c>
      <c r="G231" s="6">
        <f>IF('Model inputs'!G166="","",'Model inputs'!G166)</f>
        <v>0</v>
      </c>
      <c r="H231" s="6">
        <f>IF('Model inputs'!H166="","",'Model inputs'!H166)</f>
        <v>0</v>
      </c>
      <c r="I231" s="6">
        <f>IF('Model inputs'!I166="","",'Model inputs'!I166)</f>
        <v>0</v>
      </c>
      <c r="J231" s="6">
        <f>IF('Model inputs'!J166="","",'Model inputs'!J166)</f>
        <v>0</v>
      </c>
      <c r="K231" s="6">
        <f>IF('Model inputs'!K166="","",'Model inputs'!K166)</f>
        <v>0</v>
      </c>
      <c r="L231" s="6">
        <f>IF('Model inputs'!L166="","",'Model inputs'!L166)</f>
        <v>168.75</v>
      </c>
      <c r="M231" s="6">
        <f>IF('Model inputs'!M166="","",'Model inputs'!M166)</f>
        <v>168.75</v>
      </c>
      <c r="N231" s="6">
        <f>IF('Model inputs'!N166="","",'Model inputs'!N166)</f>
        <v>168.75</v>
      </c>
      <c r="O231" s="6">
        <f>IF('Model inputs'!O166="","",'Model inputs'!O166)</f>
        <v>168.75</v>
      </c>
      <c r="P231" s="6">
        <f>IF('Model inputs'!P166="","",'Model inputs'!P166)</f>
        <v>168.75</v>
      </c>
      <c r="Q231" s="6">
        <f>IF('Model inputs'!Q166="","",'Model inputs'!Q166)</f>
        <v>168.75</v>
      </c>
      <c r="R231" s="6">
        <f>IF('Model inputs'!R166="","",'Model inputs'!R166)</f>
        <v>168.75</v>
      </c>
      <c r="S231" s="6">
        <f>IF('Model inputs'!S166="","",'Model inputs'!S166)</f>
        <v>168.75</v>
      </c>
      <c r="T231" s="6">
        <f>IF('Model inputs'!T166="","",'Model inputs'!T166)</f>
        <v>168.75</v>
      </c>
      <c r="U231" s="6">
        <f>IF('Model inputs'!U166="","",'Model inputs'!U166)</f>
        <v>168.75</v>
      </c>
      <c r="V231" s="6">
        <f>IF('Model inputs'!V166="","",'Model inputs'!V166)</f>
        <v>168.75</v>
      </c>
      <c r="W231" s="6">
        <f>IF('Model inputs'!W166="","",'Model inputs'!W166)</f>
        <v>168.75</v>
      </c>
      <c r="X231" s="6">
        <f>IF('Model inputs'!X166="","",'Model inputs'!X166)</f>
        <v>168.75</v>
      </c>
      <c r="Y231" s="6">
        <f>IF('Model inputs'!Y166="","",'Model inputs'!Y166)</f>
        <v>168.75</v>
      </c>
      <c r="Z231" s="6">
        <f>IF('Model inputs'!Z166="","",'Model inputs'!Z166)</f>
        <v>168.75</v>
      </c>
      <c r="AA231" s="6">
        <f>IF('Model inputs'!AA166="","",'Model inputs'!AA166)</f>
        <v>168.75</v>
      </c>
      <c r="AB231" s="6">
        <f>IF('Model inputs'!AB166="","",'Model inputs'!AB166)</f>
        <v>168.75</v>
      </c>
      <c r="AC231" s="6">
        <f>IF('Model inputs'!AC166="","",'Model inputs'!AC166)</f>
        <v>168.75</v>
      </c>
      <c r="AD231" s="6">
        <f>IF('Model inputs'!AD166="","",'Model inputs'!AD166)</f>
        <v>168.75</v>
      </c>
      <c r="AE231" s="6">
        <f>IF('Model inputs'!AE166="","",'Model inputs'!AE166)</f>
        <v>168.75</v>
      </c>
      <c r="AF231" s="6">
        <f>IF('Model inputs'!AF166="","",'Model inputs'!AF166)</f>
        <v>168.75</v>
      </c>
      <c r="AG231" s="6">
        <f>IF('Model inputs'!AG166="","",'Model inputs'!AG166)</f>
        <v>168.75</v>
      </c>
      <c r="AH231" s="6">
        <f>IF('Model inputs'!AH166="","",'Model inputs'!AH166)</f>
        <v>168.75</v>
      </c>
      <c r="AI231" s="6">
        <f>IF('Model inputs'!AI166="","",'Model inputs'!AI166)</f>
        <v>168.75</v>
      </c>
    </row>
    <row r="232" outlineLevel="1">
      <c r="A232" t="inlineStr" s="23">
        <is>
          <t xml:space="preserve">Onboarding cost &gt; Growing shop</t>
        </is>
      </c>
      <c r="C232" s="9">
        <f>'Model inputs'!C133</f>
        <v>0</v>
      </c>
      <c r="D232" s="9">
        <f>'Model inputs'!D133</f>
        <v>0</v>
      </c>
      <c r="E232" s="9">
        <f>'Model inputs'!E133</f>
        <v>0</v>
      </c>
      <c r="F232" s="9">
        <f>'Model inputs'!F133</f>
        <v>0</v>
      </c>
      <c r="G232" s="9">
        <f>'Model inputs'!G133</f>
        <v>0</v>
      </c>
      <c r="H232" s="9">
        <f>'Model inputs'!H133</f>
        <v>0</v>
      </c>
      <c r="I232" s="9">
        <f>'Model inputs'!I133</f>
        <v>0</v>
      </c>
      <c r="J232" s="9">
        <f>'Model inputs'!J133</f>
        <v>0</v>
      </c>
      <c r="K232" s="9">
        <f>'SwapDesk — Operations · Merchan'!B51</f>
        <v>0</v>
      </c>
      <c r="L232" s="9">
        <f>'Model inputs'!L272*'Model inputs'!B275/60*'Model inputs'!B293</f>
        <v>56.25</v>
      </c>
      <c r="M232" s="9">
        <f>'Model inputs'!M272*'Model inputs'!B275/60*'Model inputs'!B293</f>
        <v>56.25</v>
      </c>
      <c r="N232" s="9">
        <f>'Model inputs'!N272*'Model inputs'!B275/60*'Model inputs'!B293</f>
        <v>56.25</v>
      </c>
      <c r="O232" s="9">
        <f>'Model inputs'!O272*'Model inputs'!B275/60*'Model inputs'!B293</f>
        <v>56.25</v>
      </c>
      <c r="P232" s="9">
        <f>'Model inputs'!P272*'Model inputs'!B275/60*'Model inputs'!B293</f>
        <v>56.25</v>
      </c>
      <c r="Q232" s="9">
        <f>'Model inputs'!Q272*'Model inputs'!B275/60*'Model inputs'!B293</f>
        <v>56.25</v>
      </c>
      <c r="R232" s="9">
        <f>'Model inputs'!R272*'Model inputs'!B275/60*'Model inputs'!B293</f>
        <v>56.25</v>
      </c>
      <c r="S232" s="9">
        <f>'Model inputs'!S272*'Model inputs'!B275/60*'Model inputs'!B293</f>
        <v>56.25</v>
      </c>
      <c r="T232" s="9">
        <f>'Model inputs'!T272*'Model inputs'!B275/60*'Model inputs'!B293</f>
        <v>56.25</v>
      </c>
      <c r="U232" s="9">
        <f>'Model inputs'!U272*'Model inputs'!B275/60*'Model inputs'!B293</f>
        <v>56.25</v>
      </c>
      <c r="V232" s="9">
        <f>'Model inputs'!V272*'Model inputs'!B275/60*'Model inputs'!B293</f>
        <v>56.25</v>
      </c>
      <c r="W232" s="9">
        <f>'Model inputs'!W272*'Model inputs'!B275/60*'Model inputs'!B293</f>
        <v>56.25</v>
      </c>
      <c r="X232" s="9">
        <f>'Model inputs'!X272*'Model inputs'!B275/60*'Model inputs'!B293</f>
        <v>56.25</v>
      </c>
      <c r="Y232" s="9">
        <f>'Model inputs'!Y272*'Model inputs'!B275/60*'Model inputs'!B293</f>
        <v>56.25</v>
      </c>
      <c r="Z232" s="9">
        <f>'Model inputs'!Z272*'Model inputs'!B275/60*'Model inputs'!B293</f>
        <v>56.25</v>
      </c>
      <c r="AA232" s="9">
        <f>'Model inputs'!AA272*'Model inputs'!B275/60*'Model inputs'!B293</f>
        <v>56.25</v>
      </c>
      <c r="AB232" s="9">
        <f>'Model inputs'!AB272*'Model inputs'!B275/60*'Model inputs'!B293</f>
        <v>56.25</v>
      </c>
      <c r="AC232" s="9">
        <f>'Model inputs'!AC272*'Model inputs'!B275/60*'Model inputs'!B293</f>
        <v>56.25</v>
      </c>
      <c r="AD232" s="9">
        <f>'Model inputs'!AD272*'Model inputs'!B275/60*'Model inputs'!B293</f>
        <v>56.25</v>
      </c>
      <c r="AE232" s="9">
        <f>'Model inputs'!AE272*'Model inputs'!B275/60*'Model inputs'!B293</f>
        <v>56.25</v>
      </c>
      <c r="AF232" s="9">
        <f>'Model inputs'!AF272*'Model inputs'!B275/60*'Model inputs'!B293</f>
        <v>56.25</v>
      </c>
      <c r="AG232" s="9">
        <f>'Model inputs'!AG272*'Model inputs'!B275/60*'Model inputs'!B293</f>
        <v>56.25</v>
      </c>
      <c r="AH232" s="9">
        <f>'Model inputs'!AH272*'Model inputs'!B275/60*'Model inputs'!B293</f>
        <v>56.25</v>
      </c>
      <c r="AI232" s="9">
        <f>'Model inputs'!AI272*'Model inputs'!B275/60*'Model inputs'!B293</f>
        <v>56.25</v>
      </c>
    </row>
    <row r="233" outlineLevel="1">
      <c r="A233" t="inlineStr" s="23">
        <is>
          <t xml:space="preserve">Onboarding cost &gt; Small shop</t>
        </is>
      </c>
      <c r="C233" s="9">
        <f>'Model inputs'!C134</f>
        <v>0</v>
      </c>
      <c r="D233" s="9">
        <f>'Model inputs'!D134</f>
        <v>0</v>
      </c>
      <c r="E233" s="9">
        <f>'Model inputs'!E134</f>
        <v>0</v>
      </c>
      <c r="F233" s="9">
        <f>'Model inputs'!F134</f>
        <v>0</v>
      </c>
      <c r="G233" s="9">
        <f>'Model inputs'!G134</f>
        <v>0</v>
      </c>
      <c r="H233" s="9">
        <f>'Model inputs'!H134</f>
        <v>0</v>
      </c>
      <c r="I233" s="9">
        <f>'Model inputs'!I134</f>
        <v>0</v>
      </c>
      <c r="J233" s="9">
        <f>'Model inputs'!J134</f>
        <v>0</v>
      </c>
      <c r="K233" s="9">
        <f>'SwapDesk — Operations · Merchan'!B52</f>
        <v>0</v>
      </c>
      <c r="L233" s="9">
        <f>'Model inputs'!L273*'Model inputs'!B275/60*'Model inputs'!B293</f>
        <v>112.5</v>
      </c>
      <c r="M233" s="9">
        <f>'Model inputs'!M273*'Model inputs'!B275/60*'Model inputs'!B293</f>
        <v>112.5</v>
      </c>
      <c r="N233" s="9">
        <f>'Model inputs'!N273*'Model inputs'!B275/60*'Model inputs'!B293</f>
        <v>112.5</v>
      </c>
      <c r="O233" s="9">
        <f>'Model inputs'!O273*'Model inputs'!B275/60*'Model inputs'!B293</f>
        <v>112.5</v>
      </c>
      <c r="P233" s="9">
        <f>'Model inputs'!P273*'Model inputs'!B275/60*'Model inputs'!B293</f>
        <v>112.5</v>
      </c>
      <c r="Q233" s="9">
        <f>'Model inputs'!Q273*'Model inputs'!B275/60*'Model inputs'!B293</f>
        <v>112.5</v>
      </c>
      <c r="R233" s="9">
        <f>'Model inputs'!R273*'Model inputs'!B275/60*'Model inputs'!B293</f>
        <v>112.5</v>
      </c>
      <c r="S233" s="9">
        <f>'Model inputs'!S273*'Model inputs'!B275/60*'Model inputs'!B293</f>
        <v>112.5</v>
      </c>
      <c r="T233" s="9">
        <f>'Model inputs'!T273*'Model inputs'!B275/60*'Model inputs'!B293</f>
        <v>112.5</v>
      </c>
      <c r="U233" s="9">
        <f>'Model inputs'!U273*'Model inputs'!B275/60*'Model inputs'!B293</f>
        <v>112.5</v>
      </c>
      <c r="V233" s="9">
        <f>'Model inputs'!V273*'Model inputs'!B275/60*'Model inputs'!B293</f>
        <v>112.5</v>
      </c>
      <c r="W233" s="9">
        <f>'Model inputs'!W273*'Model inputs'!B275/60*'Model inputs'!B293</f>
        <v>112.5</v>
      </c>
      <c r="X233" s="9">
        <f>'Model inputs'!X273*'Model inputs'!B275/60*'Model inputs'!B293</f>
        <v>112.5</v>
      </c>
      <c r="Y233" s="9">
        <f>'Model inputs'!Y273*'Model inputs'!B275/60*'Model inputs'!B293</f>
        <v>112.5</v>
      </c>
      <c r="Z233" s="9">
        <f>'Model inputs'!Z273*'Model inputs'!B275/60*'Model inputs'!B293</f>
        <v>112.5</v>
      </c>
      <c r="AA233" s="9">
        <f>'Model inputs'!AA273*'Model inputs'!B275/60*'Model inputs'!B293</f>
        <v>112.5</v>
      </c>
      <c r="AB233" s="9">
        <f>'Model inputs'!AB273*'Model inputs'!B275/60*'Model inputs'!B293</f>
        <v>112.5</v>
      </c>
      <c r="AC233" s="9">
        <f>'Model inputs'!AC273*'Model inputs'!B275/60*'Model inputs'!B293</f>
        <v>112.5</v>
      </c>
      <c r="AD233" s="9">
        <f>'Model inputs'!AD273*'Model inputs'!B275/60*'Model inputs'!B293</f>
        <v>112.5</v>
      </c>
      <c r="AE233" s="9">
        <f>'Model inputs'!AE273*'Model inputs'!B275/60*'Model inputs'!B293</f>
        <v>112.5</v>
      </c>
      <c r="AF233" s="9">
        <f>'Model inputs'!AF273*'Model inputs'!B275/60*'Model inputs'!B293</f>
        <v>112.5</v>
      </c>
      <c r="AG233" s="9">
        <f>'Model inputs'!AG273*'Model inputs'!B275/60*'Model inputs'!B293</f>
        <v>112.5</v>
      </c>
      <c r="AH233" s="9">
        <f>'Model inputs'!AH273*'Model inputs'!B275/60*'Model inputs'!B293</f>
        <v>112.5</v>
      </c>
      <c r="AI233" s="9">
        <f>'Model inputs'!AI273*'Model inputs'!B275/60*'Model inputs'!B293</f>
        <v>112.5</v>
      </c>
    </row>
    <row r="234">
      <c r="A234" t="inlineStr" s="22">
        <is>
          <t xml:space="preserve">Other monthly overhead · Other overhead · Bad Reliability · Bad Reliability</t>
        </is>
      </c>
      <c r="B234" s="9">
        <f>'SwapDesk — Assumptions · Commer'!B14</f>
        <v>150</v>
      </c>
    </row>
    <row r="235">
      <c r="A235" t="inlineStr" s="22">
        <is>
          <t xml:space="preserve">Other monthly overhead · Other overhead · Growth · Growth</t>
        </is>
      </c>
      <c r="B235" s="9">
        <f>'SwapDesk — Assumptions · Commer'!B14</f>
        <v>150</v>
      </c>
    </row>
    <row r="236">
      <c r="A236" t="inlineStr" s="22">
        <is>
          <t xml:space="preserve">Overage price · Overage revenue · Bad Reliability · Bad Reliability</t>
        </is>
      </c>
      <c r="B236" s="9">
        <f>'SwapDesk — Assumptions · Commer'!B7</f>
        <v>0.5</v>
      </c>
    </row>
    <row r="237">
      <c r="A237" t="inlineStr" s="22">
        <is>
          <t xml:space="preserve">Overage price · Overage revenue · Growth · Growth</t>
        </is>
      </c>
      <c r="B237" s="9">
        <f>'SwapDesk — Assumptions · Commer'!B7</f>
        <v>0.5</v>
      </c>
    </row>
    <row r="238">
      <c r="A238" t="inlineStr" s="22">
        <is>
          <t xml:space="preserve">Subscription price · Subscription revenue · Bad Reliability · Bad Reliability</t>
        </is>
      </c>
      <c r="B238" s="9">
        <f>'SwapDesk — Assumptions · Commer'!B5</f>
        <v>49</v>
      </c>
    </row>
    <row r="239">
      <c r="A239" t="inlineStr" s="22">
        <is>
          <t xml:space="preserve">Subscription price · Subscription revenue · Growth · Growth</t>
        </is>
      </c>
      <c r="B239" s="9">
        <f>'SwapDesk — Assumptions · Commer'!B5</f>
        <v>49</v>
      </c>
    </row>
    <row r="240">
      <c r="A240" t="inlineStr" s="22">
        <is>
          <t xml:space="preserve">Verified resolution rate</t>
        </is>
      </c>
      <c r="B240" s="11">
        <v>0</v>
      </c>
    </row>
    <row r="241" outlineLevel="1">
      <c r="A241" t="inlineStr" s="23">
        <is>
          <t xml:space="preserve">Verified resolution rate &gt; Growing shop</t>
        </is>
      </c>
      <c r="B241" s="19">
        <f>0.45</f>
        <v>0.45</v>
      </c>
    </row>
    <row r="242" outlineLevel="1">
      <c r="A242" t="inlineStr" s="23">
        <is>
          <t xml:space="preserve">Verified resolution rate &gt; Small shop</t>
        </is>
      </c>
      <c r="B242" s="19">
        <f>0.45</f>
        <v>0.45</v>
      </c>
    </row>
    <row r="243">
      <c r="A243" t="inlineStr" s="22">
        <is>
          <t xml:space="preserve">Verified resolution rate</t>
        </is>
      </c>
      <c r="B243" s="11">
        <v>0</v>
      </c>
    </row>
    <row r="244" outlineLevel="1">
      <c r="A244" t="inlineStr" s="23">
        <is>
          <t xml:space="preserve">Verified resolution rate &gt; Growing shop</t>
        </is>
      </c>
      <c r="B244" s="19">
        <f>0.75</f>
        <v>0.75</v>
      </c>
    </row>
    <row r="245" outlineLevel="1">
      <c r="A245" t="inlineStr" s="23">
        <is>
          <t xml:space="preserve">Verified resolution rate &gt; Small shop</t>
        </is>
      </c>
      <c r="B245" s="19">
        <f>0.75</f>
        <v>0.75</v>
      </c>
    </row>
    <row r="246">
      <c r="A246" t="inlineStr" s="22">
        <is>
          <t xml:space="preserve">Extra executions</t>
        </is>
      </c>
      <c r="C246" s="10">
        <f>SUM('Model inputs'!C247,'Model inputs'!C248)</f>
        <v>0</v>
      </c>
      <c r="D246" s="10">
        <f>SUM('Model inputs'!D247,'Model inputs'!D248)</f>
        <v>0</v>
      </c>
      <c r="E246" s="10">
        <f>SUM('Model inputs'!E247,'Model inputs'!E248)</f>
        <v>0</v>
      </c>
      <c r="F246" s="10">
        <f>SUM('Model inputs'!F247,'Model inputs'!F248)</f>
        <v>0</v>
      </c>
      <c r="G246" s="10">
        <f>SUM('Model inputs'!G247,'Model inputs'!G248)</f>
        <v>0</v>
      </c>
      <c r="H246" s="10">
        <f>SUM('Model inputs'!H247,'Model inputs'!H248)</f>
        <v>0</v>
      </c>
      <c r="I246" s="10">
        <f>SUM('Model inputs'!I247,'Model inputs'!I248)</f>
        <v>0</v>
      </c>
      <c r="J246" s="10">
        <f>SUM('Model inputs'!J247,'Model inputs'!J248)</f>
        <v>0</v>
      </c>
      <c r="K246" s="10">
        <f>IF('Model inputs'!K97="","",'Model inputs'!K97)</f>
        <v>0</v>
      </c>
      <c r="L246" s="10">
        <f>IF('Model inputs'!L97="","",'Model inputs'!L97)</f>
        <v>252.89999999999998</v>
      </c>
      <c r="M246" s="10">
        <f>IF('Model inputs'!M97="","",'Model inputs'!M97)</f>
        <v>294.789</v>
      </c>
      <c r="N246" s="10">
        <f>IF('Model inputs'!N97="","",'Model inputs'!N97)</f>
        <v>335.69181000000003</v>
      </c>
      <c r="O246" s="10">
        <f>IF('Model inputs'!O97="","",'Model inputs'!O97)</f>
        <v>375.6326061</v>
      </c>
      <c r="P246" s="10">
        <f>IF('Model inputs'!P97="","",'Model inputs'!P97)</f>
        <v>414.6349473089999</v>
      </c>
      <c r="Q246" s="10">
        <f>IF('Model inputs'!Q97="","",'Model inputs'!Q97)</f>
        <v>452.72179189389</v>
      </c>
      <c r="R246" s="10">
        <f>IF('Model inputs'!R97="","",'Model inputs'!R97)</f>
        <v>489.9155132811501</v>
      </c>
      <c r="S246" s="10">
        <f>IF('Model inputs'!S97="","",'Model inputs'!S97)</f>
        <v>526.2379155239107</v>
      </c>
      <c r="T246" s="10">
        <f>IF('Model inputs'!T97="","",'Model inputs'!T97)</f>
        <v>561.7102483465649</v>
      </c>
      <c r="U246" s="10">
        <f>IF('Model inputs'!U97="","",'Model inputs'!U97)</f>
        <v>596.353221778772</v>
      </c>
      <c r="V246" s="10">
        <f>IF('Model inputs'!V97="","",'Model inputs'!V97)</f>
        <v>630.1870203903607</v>
      </c>
      <c r="W246" s="10">
        <f>IF('Model inputs'!W97="","",'Model inputs'!W97)</f>
        <v>663.2313171383025</v>
      </c>
      <c r="X246" s="10">
        <f>IF('Model inputs'!X97="","",'Model inputs'!X97)</f>
        <v>695.5052868366132</v>
      </c>
      <c r="Y246" s="10">
        <f>IF('Model inputs'!Y97="","",'Model inputs'!Y97)</f>
        <v>727.0276192597255</v>
      </c>
      <c r="Z246" s="10">
        <f>IF('Model inputs'!Z97="","",'Model inputs'!Z97)</f>
        <v>757.81653188958</v>
      </c>
      <c r="AA246" s="10">
        <f>IF('Model inputs'!AA97="","",'Model inputs'!AA97)</f>
        <v>787.889782316386</v>
      </c>
      <c r="AB246" s="10">
        <f>IF('Model inputs'!AB97="","",'Model inputs'!AB97)</f>
        <v>817.2646803027179</v>
      </c>
      <c r="AC246" s="10">
        <f>IF('Model inputs'!AC97="","",'Model inputs'!AC97)</f>
        <v>845.9580995203435</v>
      </c>
      <c r="AD246" s="10">
        <f>IF('Model inputs'!AD97="","",'Model inputs'!AD97)</f>
        <v>873.9864889689062</v>
      </c>
      <c r="AE246" s="10">
        <f>IF('Model inputs'!AE97="","",'Model inputs'!AE97)</f>
        <v>901.3658840853286</v>
      </c>
      <c r="AF246" s="10">
        <f>IF('Model inputs'!AF97="","",'Model inputs'!AF97)</f>
        <v>928.1119175525484</v>
      </c>
      <c r="AG246" s="10">
        <f>IF('Model inputs'!AG97="","",'Model inputs'!AG97)</f>
        <v>954.239829815956</v>
      </c>
      <c r="AH246" s="10">
        <f>IF('Model inputs'!AH97="","",'Model inputs'!AH97)</f>
        <v>979.7644793156617</v>
      </c>
      <c r="AI246" s="10">
        <f>IF('Model inputs'!AI97="","",'Model inputs'!AI97)</f>
        <v>1004.7003524424927</v>
      </c>
    </row>
    <row r="247" outlineLevel="1">
      <c r="A247" t="inlineStr" s="23">
        <is>
          <t xml:space="preserve">Extra executions &gt; Growing shop</t>
        </is>
      </c>
      <c r="C247" s="8">
        <f>0</f>
        <v>0</v>
      </c>
      <c r="D247" s="8">
        <f>0</f>
        <v>0</v>
      </c>
      <c r="E247" s="8">
        <f>0</f>
        <v>0</v>
      </c>
      <c r="F247" s="8">
        <f>0</f>
        <v>0</v>
      </c>
      <c r="G247" s="8">
        <f>0</f>
        <v>0</v>
      </c>
      <c r="H247" s="8">
        <f>0</f>
        <v>0</v>
      </c>
      <c r="I247" s="8">
        <f>0</f>
        <v>0</v>
      </c>
      <c r="J247" s="8">
        <f>0</f>
        <v>0</v>
      </c>
      <c r="K247" s="8">
        <f>IF('Model inputs'!K98="","",'Model inputs'!K98)</f>
        <v>0</v>
      </c>
      <c r="L247" s="8">
        <f>IF('Model inputs'!L98="","",'Model inputs'!L98)</f>
        <v>147.6</v>
      </c>
      <c r="M247" s="8">
        <f>IF('Model inputs'!M98="","",'Model inputs'!M98)</f>
        <v>174.648</v>
      </c>
      <c r="N247" s="8">
        <f>IF('Model inputs'!N98="","",'Model inputs'!N98)</f>
        <v>201.15504</v>
      </c>
      <c r="O247" s="8">
        <f>IF('Model inputs'!O98="","",'Model inputs'!O98)</f>
        <v>227.1319392</v>
      </c>
      <c r="P247" s="8">
        <f>IF('Model inputs'!P98="","",'Model inputs'!P98)</f>
        <v>252.58930041599996</v>
      </c>
      <c r="Q247" s="8">
        <f>IF('Model inputs'!Q98="","",'Model inputs'!Q98)</f>
        <v>277.53751440767996</v>
      </c>
      <c r="R247" s="8">
        <f>IF('Model inputs'!R98="","",'Model inputs'!R98)</f>
        <v>301.98676411952636</v>
      </c>
      <c r="S247" s="8">
        <f>IF('Model inputs'!S98="","",'Model inputs'!S98)</f>
        <v>325.9470288371358</v>
      </c>
      <c r="T247" s="8">
        <f>IF('Model inputs'!T98="","",'Model inputs'!T98)</f>
        <v>349.4280882603931</v>
      </c>
      <c r="U247" s="8">
        <f>IF('Model inputs'!U98="","",'Model inputs'!U98)</f>
        <v>372.4395264951853</v>
      </c>
      <c r="V247" s="8">
        <f>IF('Model inputs'!V98="","",'Model inputs'!V98)</f>
        <v>394.9907359652816</v>
      </c>
      <c r="W247" s="8">
        <f>IF('Model inputs'!W98="","",'Model inputs'!W98)</f>
        <v>417.09092124597595</v>
      </c>
      <c r="X247" s="8">
        <f>IF('Model inputs'!X98="","",'Model inputs'!X98)</f>
        <v>438.7491028210564</v>
      </c>
      <c r="Y247" s="8">
        <f>IF('Model inputs'!Y98="","",'Model inputs'!Y98)</f>
        <v>459.9741207646353</v>
      </c>
      <c r="Z247" s="8">
        <f>IF('Model inputs'!Z98="","",'Model inputs'!Z98)</f>
        <v>480.7746383493425</v>
      </c>
      <c r="AA247" s="8">
        <f>IF('Model inputs'!AA98="","",'Model inputs'!AA98)</f>
        <v>501.1591455823557</v>
      </c>
      <c r="AB247" s="8">
        <f>IF('Model inputs'!AB98="","",'Model inputs'!AB98)</f>
        <v>521.1359626707085</v>
      </c>
      <c r="AC247" s="8">
        <f>IF('Model inputs'!AC98="","",'Model inputs'!AC98)</f>
        <v>540.7132434172944</v>
      </c>
      <c r="AD247" s="8">
        <f>IF('Model inputs'!AD98="","",'Model inputs'!AD98)</f>
        <v>559.8989785489485</v>
      </c>
      <c r="AE247" s="8">
        <f>IF('Model inputs'!AE98="","",'Model inputs'!AE98)</f>
        <v>578.7009989779697</v>
      </c>
      <c r="AF247" s="8">
        <f>IF('Model inputs'!AF98="","",'Model inputs'!AF98)</f>
        <v>597.1269789984102</v>
      </c>
      <c r="AG247" s="8">
        <f>IF('Model inputs'!AG98="","",'Model inputs'!AG98)</f>
        <v>615.1844394184419</v>
      </c>
      <c r="AH247" s="8">
        <f>IF('Model inputs'!AH98="","",'Model inputs'!AH98)</f>
        <v>632.8807506300731</v>
      </c>
      <c r="AI247" s="8">
        <f>IF('Model inputs'!AI98="","",'Model inputs'!AI98)</f>
        <v>650.2231356174717</v>
      </c>
    </row>
    <row r="248" outlineLevel="1">
      <c r="A248" t="inlineStr" s="23">
        <is>
          <t xml:space="preserve">Extra executions &gt; Small shop</t>
        </is>
      </c>
      <c r="C248" s="8">
        <f>0</f>
        <v>0</v>
      </c>
      <c r="D248" s="8">
        <f>0</f>
        <v>0</v>
      </c>
      <c r="E248" s="8">
        <f>0</f>
        <v>0</v>
      </c>
      <c r="F248" s="8">
        <f>0</f>
        <v>0</v>
      </c>
      <c r="G248" s="8">
        <f>0</f>
        <v>0</v>
      </c>
      <c r="H248" s="8">
        <f>0</f>
        <v>0</v>
      </c>
      <c r="I248" s="8">
        <f>0</f>
        <v>0</v>
      </c>
      <c r="J248" s="8">
        <f>0</f>
        <v>0</v>
      </c>
      <c r="K248" s="8">
        <f>IF('Model inputs'!K99="","",'Model inputs'!K99)</f>
        <v>0</v>
      </c>
      <c r="L248" s="8">
        <f>IF('Model inputs'!L99="","",'Model inputs'!L99)</f>
        <v>105.3</v>
      </c>
      <c r="M248" s="8">
        <f>IF('Model inputs'!M99="","",'Model inputs'!M99)</f>
        <v>120.141</v>
      </c>
      <c r="N248" s="8">
        <f>IF('Model inputs'!N99="","",'Model inputs'!N99)</f>
        <v>134.53677</v>
      </c>
      <c r="O248" s="8">
        <f>IF('Model inputs'!O99="","",'Model inputs'!O99)</f>
        <v>148.50066689999997</v>
      </c>
      <c r="P248" s="8">
        <f>IF('Model inputs'!P99="","",'Model inputs'!P99)</f>
        <v>162.045646893</v>
      </c>
      <c r="Q248" s="8">
        <f>IF('Model inputs'!Q99="","",'Model inputs'!Q99)</f>
        <v>175.18427748621</v>
      </c>
      <c r="R248" s="8">
        <f>IF('Model inputs'!R99="","",'Model inputs'!R99)</f>
        <v>187.9287491616237</v>
      </c>
      <c r="S248" s="8">
        <f>IF('Model inputs'!S99="","",'Model inputs'!S99)</f>
        <v>200.29088668677497</v>
      </c>
      <c r="T248" s="8">
        <f>IF('Model inputs'!T99="","",'Model inputs'!T99)</f>
        <v>212.28216008617173</v>
      </c>
      <c r="U248" s="8">
        <f>IF('Model inputs'!U99="","",'Model inputs'!U99)</f>
        <v>223.9136952835866</v>
      </c>
      <c r="V248" s="8">
        <f>IF('Model inputs'!V99="","",'Model inputs'!V99)</f>
        <v>235.196284425079</v>
      </c>
      <c r="W248" s="8">
        <f>IF('Model inputs'!W99="","",'Model inputs'!W99)</f>
        <v>246.14039589232664</v>
      </c>
      <c r="X248" s="8">
        <f>IF('Model inputs'!X99="","",'Model inputs'!X99)</f>
        <v>256.7561840155568</v>
      </c>
      <c r="Y248" s="8">
        <f>IF('Model inputs'!Y99="","",'Model inputs'!Y99)</f>
        <v>267.05349849509014</v>
      </c>
      <c r="Z248" s="8">
        <f>IF('Model inputs'!Z99="","",'Model inputs'!Z99)</f>
        <v>277.0418935402375</v>
      </c>
      <c r="AA248" s="8">
        <f>IF('Model inputs'!AA99="","",'Model inputs'!AA99)</f>
        <v>286.7306367340303</v>
      </c>
      <c r="AB248" s="8">
        <f>IF('Model inputs'!AB99="","",'Model inputs'!AB99)</f>
        <v>296.1287176320094</v>
      </c>
      <c r="AC248" s="8">
        <f>IF('Model inputs'!AC99="","",'Model inputs'!AC99)</f>
        <v>305.24485610304913</v>
      </c>
      <c r="AD248" s="8">
        <f>IF('Model inputs'!AD99="","",'Model inputs'!AD99)</f>
        <v>314.08751041995765</v>
      </c>
      <c r="AE248" s="8">
        <f>IF('Model inputs'!AE99="","",'Model inputs'!AE99)</f>
        <v>322.66488510735894</v>
      </c>
      <c r="AF248" s="8">
        <f>IF('Model inputs'!AF99="","",'Model inputs'!AF99)</f>
        <v>330.9849385541382</v>
      </c>
      <c r="AG248" s="8">
        <f>IF('Model inputs'!AG99="","",'Model inputs'!AG99)</f>
        <v>339.05539039751403</v>
      </c>
      <c r="AH248" s="8">
        <f>IF('Model inputs'!AH99="","",'Model inputs'!AH99)</f>
        <v>346.88372868558866</v>
      </c>
      <c r="AI248" s="8">
        <f>IF('Model inputs'!AI99="","",'Model inputs'!AI99)</f>
        <v>354.477216825021</v>
      </c>
    </row>
    <row r="249">
      <c r="A249" t="inlineStr" s="22">
        <is>
          <t xml:space="preserve">Attempted cases</t>
        </is>
      </c>
      <c r="C249" s="10">
        <f>SUM('Model inputs'!C250,'Model inputs'!C251)</f>
        <v>0</v>
      </c>
      <c r="D249" s="10">
        <f>SUM('Model inputs'!D250,'Model inputs'!D251)</f>
        <v>0</v>
      </c>
      <c r="E249" s="10">
        <f>SUM('Model inputs'!E250,'Model inputs'!E251)</f>
        <v>0</v>
      </c>
      <c r="F249" s="10">
        <f>SUM('Model inputs'!F250,'Model inputs'!F251)</f>
        <v>0</v>
      </c>
      <c r="G249" s="10">
        <f>SUM('Model inputs'!G250,'Model inputs'!G251)</f>
        <v>0</v>
      </c>
      <c r="H249" s="10">
        <f>SUM('Model inputs'!H250,'Model inputs'!H251)</f>
        <v>0</v>
      </c>
      <c r="I249" s="10">
        <f>SUM('Model inputs'!I250,'Model inputs'!I251)</f>
        <v>0</v>
      </c>
      <c r="J249" s="10">
        <f>SUM('Model inputs'!J250,'Model inputs'!J251)</f>
        <v>0</v>
      </c>
      <c r="K249" s="10">
        <f>IF('Model inputs'!K106="","",'Model inputs'!K106)</f>
        <v>0</v>
      </c>
      <c r="L249" s="10">
        <f>IF('Model inputs'!L106="","",'Model inputs'!L106)</f>
        <v>1686</v>
      </c>
      <c r="M249" s="10">
        <f>IF('Model inputs'!M106="","",'Model inputs'!M106)</f>
        <v>1965.26</v>
      </c>
      <c r="N249" s="10">
        <f>IF('Model inputs'!N106="","",'Model inputs'!N106)</f>
        <v>2237.9454</v>
      </c>
      <c r="O249" s="10">
        <f>IF('Model inputs'!O106="","",'Model inputs'!O106)</f>
        <v>2504.217374</v>
      </c>
      <c r="P249" s="10">
        <f>IF('Model inputs'!P106="","",'Model inputs'!P106)</f>
        <v>2764.23298206</v>
      </c>
      <c r="Q249" s="10">
        <f>IF('Model inputs'!Q106="","",'Model inputs'!Q106)</f>
        <v>3018.1452792925998</v>
      </c>
      <c r="R249" s="10">
        <f>IF('Model inputs'!R106="","",'Model inputs'!R106)</f>
        <v>3266.103421874334</v>
      </c>
      <c r="S249" s="10">
        <f>IF('Model inputs'!S106="","",'Model inputs'!S106)</f>
        <v>3508.2527701594054</v>
      </c>
      <c r="T249" s="10">
        <f>IF('Model inputs'!T106="","",'Model inputs'!T106)</f>
        <v>3744.7349889770994</v>
      </c>
      <c r="U249" s="10">
        <f>IF('Model inputs'!U106="","",'Model inputs'!U106)</f>
        <v>3975.688145191813</v>
      </c>
      <c r="V249" s="10">
        <f>IF('Model inputs'!V106="","",'Model inputs'!V106)</f>
        <v>4201.246802602404</v>
      </c>
      <c r="W249" s="10">
        <f>IF('Model inputs'!W106="","",'Model inputs'!W106)</f>
        <v>4421.5421142553505</v>
      </c>
      <c r="X249" s="10">
        <f>IF('Model inputs'!X106="","",'Model inputs'!X106)</f>
        <v>4636.701912244089</v>
      </c>
      <c r="Y249" s="10">
        <f>IF('Model inputs'!Y106="","",'Model inputs'!Y106)</f>
        <v>4846.850795064836</v>
      </c>
      <c r="Z249" s="10">
        <f>IF('Model inputs'!Z106="","",'Model inputs'!Z106)</f>
        <v>5052.1102125972</v>
      </c>
      <c r="AA249" s="10">
        <f>IF('Model inputs'!AA106="","",'Model inputs'!AA106)</f>
        <v>5252.598548775906</v>
      </c>
      <c r="AB249" s="10">
        <f>IF('Model inputs'!AB106="","",'Model inputs'!AB106)</f>
        <v>5448.4312020181205</v>
      </c>
      <c r="AC249" s="10">
        <f>IF('Model inputs'!AC106="","",'Model inputs'!AC106)</f>
        <v>5639.720663468957</v>
      </c>
      <c r="AD249" s="10">
        <f>IF('Model inputs'!AD106="","",'Model inputs'!AD106)</f>
        <v>5826.576593126041</v>
      </c>
      <c r="AE249" s="10">
        <f>IF('Model inputs'!AE106="","",'Model inputs'!AE106)</f>
        <v>6009.105893902191</v>
      </c>
      <c r="AF249" s="10">
        <f>IF('Model inputs'!AF106="","",'Model inputs'!AF106)</f>
        <v>6187.412783683656</v>
      </c>
      <c r="AG249" s="10">
        <f>IF('Model inputs'!AG106="","",'Model inputs'!AG106)</f>
        <v>6361.598865439707</v>
      </c>
      <c r="AH249" s="10">
        <f>IF('Model inputs'!AH106="","",'Model inputs'!AH106)</f>
        <v>6531.763195437745</v>
      </c>
      <c r="AI249" s="10">
        <f>IF('Model inputs'!AI106="","",'Model inputs'!AI106)</f>
        <v>6698.002349616618</v>
      </c>
    </row>
    <row r="250" outlineLevel="1">
      <c r="A250" t="inlineStr" s="23">
        <is>
          <t xml:space="preserve">Attempted cases &gt; Growing shop</t>
        </is>
      </c>
      <c r="C250" s="8">
        <f>0</f>
        <v>0</v>
      </c>
      <c r="D250" s="8">
        <f>0</f>
        <v>0</v>
      </c>
      <c r="E250" s="8">
        <f>0</f>
        <v>0</v>
      </c>
      <c r="F250" s="8">
        <f>0</f>
        <v>0</v>
      </c>
      <c r="G250" s="8">
        <f>0</f>
        <v>0</v>
      </c>
      <c r="H250" s="8">
        <f>0</f>
        <v>0</v>
      </c>
      <c r="I250" s="8">
        <f>0</f>
        <v>0</v>
      </c>
      <c r="J250" s="8">
        <f>0</f>
        <v>0</v>
      </c>
      <c r="K250" s="8">
        <f>IF('Model inputs'!K107="","",'Model inputs'!K107)</f>
        <v>0</v>
      </c>
      <c r="L250" s="8">
        <f>IF('Model inputs'!L107="","",'Model inputs'!L107)</f>
        <v>984</v>
      </c>
      <c r="M250" s="8">
        <f>IF('Model inputs'!M107="","",'Model inputs'!M107)</f>
        <v>1164.32</v>
      </c>
      <c r="N250" s="8">
        <f>IF('Model inputs'!N107="","",'Model inputs'!N107)</f>
        <v>1341.0336000000002</v>
      </c>
      <c r="O250" s="8">
        <f>IF('Model inputs'!O107="","",'Model inputs'!O107)</f>
        <v>1514.2129280000001</v>
      </c>
      <c r="P250" s="8">
        <f>IF('Model inputs'!P107="","",'Model inputs'!P107)</f>
        <v>1683.9286694399998</v>
      </c>
      <c r="Q250" s="8">
        <f>IF('Model inputs'!Q107="","",'Model inputs'!Q107)</f>
        <v>1850.2500960511998</v>
      </c>
      <c r="R250" s="8">
        <f>IF('Model inputs'!R107="","",'Model inputs'!R107)</f>
        <v>2013.2450941301759</v>
      </c>
      <c r="S250" s="8">
        <f>IF('Model inputs'!S107="","",'Model inputs'!S107)</f>
        <v>2172.980192247572</v>
      </c>
      <c r="T250" s="8">
        <f>IF('Model inputs'!T107="","",'Model inputs'!T107)</f>
        <v>2329.520588402621</v>
      </c>
      <c r="U250" s="8">
        <f>IF('Model inputs'!U107="","",'Model inputs'!U107)</f>
        <v>2482.930176634569</v>
      </c>
      <c r="V250" s="8">
        <f>IF('Model inputs'!V107="","",'Model inputs'!V107)</f>
        <v>2633.2715731018775</v>
      </c>
      <c r="W250" s="8">
        <f>IF('Model inputs'!W107="","",'Model inputs'!W107)</f>
        <v>2780.6061416398397</v>
      </c>
      <c r="X250" s="8">
        <f>IF('Model inputs'!X107="","",'Model inputs'!X107)</f>
        <v>2924.9940188070427</v>
      </c>
      <c r="Y250" s="8">
        <f>IF('Model inputs'!Y107="","",'Model inputs'!Y107)</f>
        <v>3066.4941384309022</v>
      </c>
      <c r="Z250" s="8">
        <f>IF('Model inputs'!Z107="","",'Model inputs'!Z107)</f>
        <v>3205.1642556622837</v>
      </c>
      <c r="AA250" s="8">
        <f>IF('Model inputs'!AA107="","",'Model inputs'!AA107)</f>
        <v>3341.060970549038</v>
      </c>
      <c r="AB250" s="8">
        <f>IF('Model inputs'!AB107="","",'Model inputs'!AB107)</f>
        <v>3474.2397511380573</v>
      </c>
      <c r="AC250" s="8">
        <f>IF('Model inputs'!AC107="","",'Model inputs'!AC107)</f>
        <v>3604.7549561152964</v>
      </c>
      <c r="AD250" s="8">
        <f>IF('Model inputs'!AD107="","",'Model inputs'!AD107)</f>
        <v>3732.6598569929906</v>
      </c>
      <c r="AE250" s="8">
        <f>IF('Model inputs'!AE107="","",'Model inputs'!AE107)</f>
        <v>3858.006659853131</v>
      </c>
      <c r="AF250" s="8">
        <f>IF('Model inputs'!AF107="","",'Model inputs'!AF107)</f>
        <v>3980.846526656068</v>
      </c>
      <c r="AG250" s="8">
        <f>IF('Model inputs'!AG107="","",'Model inputs'!AG107)</f>
        <v>4101.2295961229465</v>
      </c>
      <c r="AH250" s="8">
        <f>IF('Model inputs'!AH107="","",'Model inputs'!AH107)</f>
        <v>4219.205004200488</v>
      </c>
      <c r="AI250" s="8">
        <f>IF('Model inputs'!AI107="","",'Model inputs'!AI107)</f>
        <v>4334.820904116478</v>
      </c>
    </row>
    <row r="251" outlineLevel="1">
      <c r="A251" t="inlineStr" s="23">
        <is>
          <t xml:space="preserve">Attempted cases &gt; Small shop</t>
        </is>
      </c>
      <c r="C251" s="8">
        <f>0</f>
        <v>0</v>
      </c>
      <c r="D251" s="8">
        <f>0</f>
        <v>0</v>
      </c>
      <c r="E251" s="8">
        <f>0</f>
        <v>0</v>
      </c>
      <c r="F251" s="8">
        <f>0</f>
        <v>0</v>
      </c>
      <c r="G251" s="8">
        <f>0</f>
        <v>0</v>
      </c>
      <c r="H251" s="8">
        <f>0</f>
        <v>0</v>
      </c>
      <c r="I251" s="8">
        <f>0</f>
        <v>0</v>
      </c>
      <c r="J251" s="8">
        <f>0</f>
        <v>0</v>
      </c>
      <c r="K251" s="8">
        <f>IF('Model inputs'!K108="","",'Model inputs'!K108)</f>
        <v>0</v>
      </c>
      <c r="L251" s="8">
        <f>IF('Model inputs'!L108="","",'Model inputs'!L108)</f>
        <v>702</v>
      </c>
      <c r="M251" s="8">
        <f>IF('Model inputs'!M108="","",'Model inputs'!M108)</f>
        <v>800.94</v>
      </c>
      <c r="N251" s="8">
        <f>IF('Model inputs'!N108="","",'Model inputs'!N108)</f>
        <v>896.9118</v>
      </c>
      <c r="O251" s="8">
        <f>IF('Model inputs'!O108="","",'Model inputs'!O108)</f>
        <v>990.0044459999999</v>
      </c>
      <c r="P251" s="8">
        <f>IF('Model inputs'!P108="","",'Model inputs'!P108)</f>
        <v>1080.30431262</v>
      </c>
      <c r="Q251" s="8">
        <f>IF('Model inputs'!Q108="","",'Model inputs'!Q108)</f>
        <v>1167.8951832414</v>
      </c>
      <c r="R251" s="8">
        <f>IF('Model inputs'!R108="","",'Model inputs'!R108)</f>
        <v>1252.858327744158</v>
      </c>
      <c r="S251" s="8">
        <f>IF('Model inputs'!S108="","",'Model inputs'!S108)</f>
        <v>1335.2725779118332</v>
      </c>
      <c r="T251" s="8">
        <f>IF('Model inputs'!T108="","",'Model inputs'!T108)</f>
        <v>1415.2144005744783</v>
      </c>
      <c r="U251" s="8">
        <f>IF('Model inputs'!U108="","",'Model inputs'!U108)</f>
        <v>1492.757968557244</v>
      </c>
      <c r="V251" s="8">
        <f>IF('Model inputs'!V108="","",'Model inputs'!V108)</f>
        <v>1567.9752295005267</v>
      </c>
      <c r="W251" s="8">
        <f>IF('Model inputs'!W108="","",'Model inputs'!W108)</f>
        <v>1640.935972615511</v>
      </c>
      <c r="X251" s="8">
        <f>IF('Model inputs'!X108="","",'Model inputs'!X108)</f>
        <v>1711.7078934370456</v>
      </c>
      <c r="Y251" s="8">
        <f>IF('Model inputs'!Y108="","",'Model inputs'!Y108)</f>
        <v>1780.3566566339343</v>
      </c>
      <c r="Z251" s="8">
        <f>IF('Model inputs'!Z108="","",'Model inputs'!Z108)</f>
        <v>1846.9459569349165</v>
      </c>
      <c r="AA251" s="8">
        <f>IF('Model inputs'!AA108="","",'Model inputs'!AA108)</f>
        <v>1911.5375782268688</v>
      </c>
      <c r="AB251" s="8">
        <f>IF('Model inputs'!AB108="","",'Model inputs'!AB108)</f>
        <v>1974.1914508800628</v>
      </c>
      <c r="AC251" s="8">
        <f>IF('Model inputs'!AC108="","",'Model inputs'!AC108)</f>
        <v>2034.965707353661</v>
      </c>
      <c r="AD251" s="8">
        <f>IF('Model inputs'!AD108="","",'Model inputs'!AD108)</f>
        <v>2093.916736133051</v>
      </c>
      <c r="AE251" s="8">
        <f>IF('Model inputs'!AE108="","",'Model inputs'!AE108)</f>
        <v>2151.0992340490598</v>
      </c>
      <c r="AF251" s="8">
        <f>IF('Model inputs'!AF108="","",'Model inputs'!AF108)</f>
        <v>2206.566257027588</v>
      </c>
      <c r="AG251" s="8">
        <f>IF('Model inputs'!AG108="","",'Model inputs'!AG108)</f>
        <v>2260.3692693167604</v>
      </c>
      <c r="AH251" s="8">
        <f>IF('Model inputs'!AH108="","",'Model inputs'!AH108)</f>
        <v>2312.5581912372577</v>
      </c>
      <c r="AI251" s="8">
        <f>IF('Model inputs'!AI108="","",'Model inputs'!AI108)</f>
        <v>2363.18144550014</v>
      </c>
    </row>
    <row r="252">
      <c r="A252" t="inlineStr" s="22">
        <is>
          <t xml:space="preserve">Cost per execution · Inference cost · Bad Reliability · Bad Reliability</t>
        </is>
      </c>
      <c r="B252" s="9">
        <f>'SwapDesk — Assumptions · Commer'!B8</f>
        <v>0.03</v>
      </c>
    </row>
    <row r="253">
      <c r="A253" t="inlineStr" s="22">
        <is>
          <t xml:space="preserve">Cost per execution · Inference cost · Growth · Growth</t>
        </is>
      </c>
      <c r="B253" s="9">
        <f>'SwapDesk — Assumptions · Commer'!B8</f>
        <v>0.03</v>
      </c>
    </row>
    <row r="254">
      <c r="A254" t="inlineStr" s="22">
        <is>
          <t xml:space="preserve">Customer acquisition cost · Acquisition spending · Bad Reliability · Bad Reliability</t>
        </is>
      </c>
      <c r="B254" s="9">
        <f>'SwapDesk — Assumptions · Commer'!B11</f>
        <v>100</v>
      </c>
    </row>
    <row r="255">
      <c r="A255" t="inlineStr" s="22">
        <is>
          <t xml:space="preserve">Customer acquisition cost · Acquisition spending · Growth · Growth</t>
        </is>
      </c>
      <c r="B255" s="9">
        <f>'SwapDesk — Assumptions · Commer'!B11</f>
        <v>100</v>
      </c>
    </row>
    <row r="256">
      <c r="A256" t="inlineStr" s="22">
        <is>
          <t xml:space="preserve">Founder start date</t>
        </is>
      </c>
      <c r="B256" s="10">
        <v/>
      </c>
    </row>
    <row r="257" outlineLevel="1">
      <c r="A257" t="inlineStr" s="23">
        <is>
          <t xml:space="preserve">Founder start date &gt; Placeholder founder 1</t>
        </is>
      </c>
      <c r="B257" s="24">
        <f>DATE(2027,1,1)</f>
        <v>46388</v>
      </c>
    </row>
    <row r="258">
      <c r="A258" t="inlineStr" s="22">
        <is>
          <t xml:space="preserve">Founder start date</t>
        </is>
      </c>
      <c r="B258" s="10">
        <v/>
      </c>
    </row>
    <row r="259" outlineLevel="1">
      <c r="A259" t="inlineStr" s="23">
        <is>
          <t xml:space="preserve">Founder start date &gt; Placeholder founder 1</t>
        </is>
      </c>
      <c r="B259" s="24">
        <f>DATE(2027,1,1)</f>
        <v>46388</v>
      </c>
    </row>
    <row r="260">
      <c r="A260" t="inlineStr" s="22">
        <is>
          <t xml:space="preserve">Infrastructure cost per store · Infrastructure variable cost · Bad Reliability · Bad Reliability</t>
        </is>
      </c>
      <c r="B260" s="9">
        <f>'SwapDesk — Assumptions · Commer'!B13</f>
        <v>1</v>
      </c>
    </row>
    <row r="261">
      <c r="A261" t="inlineStr" s="22">
        <is>
          <t xml:space="preserve">Infrastructure cost per store · Infrastructure variable cost · Growth · Growth</t>
        </is>
      </c>
      <c r="B261" s="9">
        <f>'SwapDesk — Assumptions · Commer'!B13</f>
        <v>1</v>
      </c>
    </row>
    <row r="262">
      <c r="A262" t="inlineStr" s="22">
        <is>
          <t xml:space="preserve">Lost stores</t>
        </is>
      </c>
      <c r="C262" s="10">
        <f>SUM('Model inputs'!C263,'Model inputs'!C264)</f>
        <v>0</v>
      </c>
      <c r="D262" s="10">
        <f>SUM('Model inputs'!D263,'Model inputs'!D264)</f>
        <v>0</v>
      </c>
      <c r="E262" s="10">
        <f>SUM('Model inputs'!E263,'Model inputs'!E264)</f>
        <v>0</v>
      </c>
      <c r="F262" s="10">
        <f>SUM('Model inputs'!F263,'Model inputs'!F264)</f>
        <v>0</v>
      </c>
      <c r="G262" s="10">
        <f>SUM('Model inputs'!G263,'Model inputs'!G264)</f>
        <v>0</v>
      </c>
      <c r="H262" s="10">
        <f>SUM('Model inputs'!H263,'Model inputs'!H264)</f>
        <v>0</v>
      </c>
      <c r="I262" s="10">
        <f>SUM('Model inputs'!I263,'Model inputs'!I264)</f>
        <v>0</v>
      </c>
      <c r="J262" s="10">
        <f>SUM('Model inputs'!J263,'Model inputs'!J264)</f>
        <v>0</v>
      </c>
      <c r="K262" s="10">
        <f>SUM('Model inputs'!K263,'Model inputs'!K264)</f>
        <v>0</v>
      </c>
      <c r="L262" s="10">
        <f>SUM('Model inputs'!L263,'Model inputs'!L264)</f>
        <v>0.4</v>
      </c>
      <c r="M262" s="10">
        <f>SUM('Model inputs'!M263,'Model inputs'!M264)</f>
        <v>0.46199999999999997</v>
      </c>
      <c r="N262" s="10">
        <f>SUM('Model inputs'!N263,'Model inputs'!N264)</f>
        <v>0.52048</v>
      </c>
      <c r="O262" s="10">
        <f>SUM('Model inputs'!O263,'Model inputs'!O264)</f>
        <v>0.5756412000000001</v>
      </c>
      <c r="P262" s="10">
        <f>SUM('Model inputs'!P263,'Model inputs'!P264)</f>
        <v>0.627673228</v>
      </c>
      <c r="Q262" s="10">
        <f>SUM('Model inputs'!Q263,'Model inputs'!Q264)</f>
        <v>0.67675480932</v>
      </c>
      <c r="R262" s="10">
        <f>SUM('Model inputs'!R263,'Model inputs'!R264)</f>
        <v>0.7230543970107999</v>
      </c>
      <c r="S262" s="10">
        <f>SUM('Model inputs'!S263,'Model inputs'!S264)</f>
        <v>0.7667307656276519</v>
      </c>
      <c r="T262" s="10">
        <f>SUM('Model inputs'!T263,'Model inputs'!T264)</f>
        <v>0.8079335705056178</v>
      </c>
      <c r="U262" s="10">
        <f>SUM('Model inputs'!U263,'Model inputs'!U264)</f>
        <v>0.8468038745501244</v>
      </c>
      <c r="V262" s="10">
        <f>SUM('Model inputs'!V263,'Model inputs'!V264)</f>
        <v>0.8834746444382187</v>
      </c>
      <c r="W262" s="10">
        <f>SUM('Model inputs'!W263,'Model inputs'!W264)</f>
        <v>0.9180712180149719</v>
      </c>
      <c r="X262" s="10">
        <f>SUM('Model inputs'!X263,'Model inputs'!X264)</f>
        <v>0.9507117445649678</v>
      </c>
      <c r="Y262" s="10">
        <f>SUM('Model inputs'!Y263,'Model inputs'!Y264)</f>
        <v>0.9815075995404192</v>
      </c>
      <c r="Z262" s="10">
        <f>SUM('Model inputs'!Z263,'Model inputs'!Z264)</f>
        <v>1.0105637752348762</v>
      </c>
      <c r="AA262" s="10">
        <f>SUM('Model inputs'!AA263,'Model inputs'!AA264)</f>
        <v>1.0379792488043216</v>
      </c>
      <c r="AB262" s="10">
        <f>SUM('Model inputs'!AB263,'Model inputs'!AB264)</f>
        <v>1.063847328955423</v>
      </c>
      <c r="AC262" s="10">
        <f>SUM('Model inputs'!AC263,'Model inputs'!AC264)</f>
        <v>1.0882559825434908</v>
      </c>
      <c r="AD262" s="10">
        <f>SUM('Model inputs'!AD263,'Model inputs'!AD264)</f>
        <v>1.1112881422500047</v>
      </c>
      <c r="AE262" s="10">
        <f>SUM('Model inputs'!AE263,'Model inputs'!AE264)</f>
        <v>1.1330219964411714</v>
      </c>
      <c r="AF262" s="10">
        <f>SUM('Model inputs'!AF263,'Model inputs'!AF264)</f>
        <v>1.15353126224456</v>
      </c>
      <c r="AG262" s="10">
        <f>SUM('Model inputs'!AG263,'Model inputs'!AG264)</f>
        <v>1.1728854428202522</v>
      </c>
      <c r="AH262" s="10">
        <f>SUM('Model inputs'!AH263,'Model inputs'!AH264)</f>
        <v>1.1911500697458846</v>
      </c>
      <c r="AI262" s="10">
        <f>SUM('Model inputs'!AI263,'Model inputs'!AI264)</f>
        <v>1.2083869313812365</v>
      </c>
    </row>
    <row r="263" outlineLevel="1">
      <c r="A263" t="inlineStr" s="23">
        <is>
          <t xml:space="preserve">Lost stores &gt; Growing shop</t>
        </is>
      </c>
      <c r="C263" s="8">
        <f>'Model inputs'!C71</f>
        <v>0</v>
      </c>
      <c r="D263" s="8">
        <f>'Model inputs'!D71</f>
        <v>0</v>
      </c>
      <c r="E263" s="8">
        <f>'Model inputs'!E71</f>
        <v>0</v>
      </c>
      <c r="F263" s="8">
        <f>'Model inputs'!F71</f>
        <v>0</v>
      </c>
      <c r="G263" s="8">
        <f>'Model inputs'!G71</f>
        <v>0</v>
      </c>
      <c r="H263" s="8">
        <f>'Model inputs'!H71</f>
        <v>0</v>
      </c>
      <c r="I263" s="8">
        <f>'Model inputs'!I71</f>
        <v>0</v>
      </c>
      <c r="J263" s="8">
        <f>'Model inputs'!J71</f>
        <v>0</v>
      </c>
      <c r="K263" s="8">
        <f>'SwapDesk — Operations · Merchan'!B12</f>
        <v>0</v>
      </c>
      <c r="L263" s="8">
        <f>'Model inputs'!L277*'Model inputs'!B315</f>
        <v>0.1</v>
      </c>
      <c r="M263" s="8">
        <f>'Model inputs'!M277*'Model inputs'!B315</f>
        <v>0.12</v>
      </c>
      <c r="N263" s="8">
        <f>'Model inputs'!N277*'Model inputs'!B315</f>
        <v>0.13899999999999998</v>
      </c>
      <c r="O263" s="8">
        <f>'Model inputs'!O277*'Model inputs'!B315</f>
        <v>0.15705000000000002</v>
      </c>
      <c r="P263" s="8">
        <f>'Model inputs'!P277*'Model inputs'!B315</f>
        <v>0.1741975</v>
      </c>
      <c r="Q263" s="8">
        <f>'Model inputs'!Q277*'Model inputs'!B315</f>
        <v>0.19048762500000002</v>
      </c>
      <c r="R263" s="8">
        <f>'Model inputs'!R277*'Model inputs'!B315</f>
        <v>0.20596324375</v>
      </c>
      <c r="S263" s="8">
        <f>'Model inputs'!S277*'Model inputs'!B315</f>
        <v>0.22066508156249998</v>
      </c>
      <c r="T263" s="8">
        <f>'Model inputs'!T277*'Model inputs'!B315</f>
        <v>0.23463182748437497</v>
      </c>
      <c r="U263" s="8">
        <f>'Model inputs'!U277*'Model inputs'!B315</f>
        <v>0.24790023611015624</v>
      </c>
      <c r="V263" s="8">
        <f>'Model inputs'!V277*'Model inputs'!B315</f>
        <v>0.26050522430464845</v>
      </c>
      <c r="W263" s="8">
        <f>'Model inputs'!W277*'Model inputs'!B315</f>
        <v>0.272479963089416</v>
      </c>
      <c r="X263" s="8">
        <f>'Model inputs'!X277*'Model inputs'!B315</f>
        <v>0.2838559649349452</v>
      </c>
      <c r="Y263" s="8">
        <f>'Model inputs'!Y277*'Model inputs'!B315</f>
        <v>0.294663166688198</v>
      </c>
      <c r="Z263" s="8">
        <f>'Model inputs'!Z277*'Model inputs'!B315</f>
        <v>0.30493000835378803</v>
      </c>
      <c r="AA263" s="8">
        <f>'Model inputs'!AA277*'Model inputs'!B315</f>
        <v>0.31468350793609867</v>
      </c>
      <c r="AB263" s="8">
        <f>'Model inputs'!AB277*'Model inputs'!B315</f>
        <v>0.3239493325392937</v>
      </c>
      <c r="AC263" s="8">
        <f>'Model inputs'!AC277*'Model inputs'!B315</f>
        <v>0.332751865912329</v>
      </c>
      <c r="AD263" s="8">
        <f>'Model inputs'!AD277*'Model inputs'!B315</f>
        <v>0.34111427261671257</v>
      </c>
      <c r="AE263" s="8">
        <f>'Model inputs'!AE277*'Model inputs'!B315</f>
        <v>0.34905855898587695</v>
      </c>
      <c r="AF263" s="8">
        <f>'Model inputs'!AF277*'Model inputs'!B315</f>
        <v>0.3566056310365831</v>
      </c>
      <c r="AG263" s="8">
        <f>'Model inputs'!AG277*'Model inputs'!B315</f>
        <v>0.363775349484754</v>
      </c>
      <c r="AH263" s="8">
        <f>'Model inputs'!AH277*'Model inputs'!B315</f>
        <v>0.3705865820105163</v>
      </c>
      <c r="AI263" s="8">
        <f>'Model inputs'!AI277*'Model inputs'!B315</f>
        <v>0.3770572529099905</v>
      </c>
    </row>
    <row r="264" outlineLevel="1">
      <c r="A264" t="inlineStr" s="23">
        <is>
          <t xml:space="preserve">Lost stores &gt; Small shop</t>
        </is>
      </c>
      <c r="C264" s="8">
        <f>'Model inputs'!C72</f>
        <v>0</v>
      </c>
      <c r="D264" s="8">
        <f>'Model inputs'!D72</f>
        <v>0</v>
      </c>
      <c r="E264" s="8">
        <f>'Model inputs'!E72</f>
        <v>0</v>
      </c>
      <c r="F264" s="8">
        <f>'Model inputs'!F72</f>
        <v>0</v>
      </c>
      <c r="G264" s="8">
        <f>'Model inputs'!G72</f>
        <v>0</v>
      </c>
      <c r="H264" s="8">
        <f>'Model inputs'!H72</f>
        <v>0</v>
      </c>
      <c r="I264" s="8">
        <f>'Model inputs'!I72</f>
        <v>0</v>
      </c>
      <c r="J264" s="8">
        <f>'Model inputs'!J72</f>
        <v>0</v>
      </c>
      <c r="K264" s="8">
        <f>'SwapDesk — Operations · Merchan'!B13</f>
        <v>0</v>
      </c>
      <c r="L264" s="8">
        <f>'Model inputs'!L278*'Model inputs'!B316</f>
        <v>0.3</v>
      </c>
      <c r="M264" s="8">
        <f>'Model inputs'!M278*'Model inputs'!B316</f>
        <v>0.34199999999999997</v>
      </c>
      <c r="N264" s="8">
        <f>'Model inputs'!N278*'Model inputs'!B316</f>
        <v>0.38148000000000004</v>
      </c>
      <c r="O264" s="8">
        <f>'Model inputs'!O278*'Model inputs'!B316</f>
        <v>0.41859120000000005</v>
      </c>
      <c r="P264" s="8">
        <f>'Model inputs'!P278*'Model inputs'!B316</f>
        <v>0.453475728</v>
      </c>
      <c r="Q264" s="8">
        <f>'Model inputs'!Q278*'Model inputs'!B316</f>
        <v>0.48626718432</v>
      </c>
      <c r="R264" s="8">
        <f>'Model inputs'!R278*'Model inputs'!B316</f>
        <v>0.5170911532607999</v>
      </c>
      <c r="S264" s="8">
        <f>'Model inputs'!S278*'Model inputs'!B316</f>
        <v>0.5460656840651519</v>
      </c>
      <c r="T264" s="8">
        <f>'Model inputs'!T278*'Model inputs'!B316</f>
        <v>0.5733017430212428</v>
      </c>
      <c r="U264" s="8">
        <f>'Model inputs'!U278*'Model inputs'!B316</f>
        <v>0.5989036384399682</v>
      </c>
      <c r="V264" s="8">
        <f>'Model inputs'!V278*'Model inputs'!B316</f>
        <v>0.6229694201335702</v>
      </c>
      <c r="W264" s="8">
        <f>'Model inputs'!W278*'Model inputs'!B316</f>
        <v>0.6455912549255559</v>
      </c>
      <c r="X264" s="8">
        <f>'Model inputs'!X278*'Model inputs'!B316</f>
        <v>0.6668557796300226</v>
      </c>
      <c r="Y264" s="8">
        <f>'Model inputs'!Y278*'Model inputs'!B316</f>
        <v>0.6868444328522212</v>
      </c>
      <c r="Z264" s="8">
        <f>'Model inputs'!Z278*'Model inputs'!B316</f>
        <v>0.705633766881088</v>
      </c>
      <c r="AA264" s="8">
        <f>'Model inputs'!AA278*'Model inputs'!B316</f>
        <v>0.7232957408682228</v>
      </c>
      <c r="AB264" s="8">
        <f>'Model inputs'!AB278*'Model inputs'!B316</f>
        <v>0.7398979964161294</v>
      </c>
      <c r="AC264" s="8">
        <f>'Model inputs'!AC278*'Model inputs'!B316</f>
        <v>0.7555041166311617</v>
      </c>
      <c r="AD264" s="8">
        <f>'Model inputs'!AD278*'Model inputs'!B316</f>
        <v>0.770173869633292</v>
      </c>
      <c r="AE264" s="8">
        <f>'Model inputs'!AE278*'Model inputs'!B316</f>
        <v>0.7839634374552945</v>
      </c>
      <c r="AF264" s="8">
        <f>'Model inputs'!AF278*'Model inputs'!B316</f>
        <v>0.7969256312079768</v>
      </c>
      <c r="AG264" s="8">
        <f>'Model inputs'!AG278*'Model inputs'!B316</f>
        <v>0.8091100933354982</v>
      </c>
      <c r="AH264" s="8">
        <f>'Model inputs'!AH278*'Model inputs'!B316</f>
        <v>0.8205634877353684</v>
      </c>
      <c r="AI264" s="8">
        <f>'Model inputs'!AI278*'Model inputs'!B316</f>
        <v>0.8313296784712462</v>
      </c>
    </row>
    <row r="265">
      <c r="A265" t="inlineStr" s="22">
        <is>
          <t xml:space="preserve">Lost stores</t>
        </is>
      </c>
      <c r="C265" s="10">
        <f>SUM('Model inputs'!C266,'Model inputs'!C267)</f>
        <v>0</v>
      </c>
      <c r="D265" s="10">
        <f>SUM('Model inputs'!D266,'Model inputs'!D267)</f>
        <v>0</v>
      </c>
      <c r="E265" s="10">
        <f>SUM('Model inputs'!E266,'Model inputs'!E267)</f>
        <v>0</v>
      </c>
      <c r="F265" s="10">
        <f>SUM('Model inputs'!F266,'Model inputs'!F267)</f>
        <v>0</v>
      </c>
      <c r="G265" s="10">
        <f>SUM('Model inputs'!G266,'Model inputs'!G267)</f>
        <v>0</v>
      </c>
      <c r="H265" s="10">
        <f>SUM('Model inputs'!H266,'Model inputs'!H267)</f>
        <v>0</v>
      </c>
      <c r="I265" s="10">
        <f>SUM('Model inputs'!I266,'Model inputs'!I267)</f>
        <v>0</v>
      </c>
      <c r="J265" s="10">
        <f>SUM('Model inputs'!J266,'Model inputs'!J267)</f>
        <v>0</v>
      </c>
      <c r="K265" s="10">
        <f>SUM('Model inputs'!K266,'Model inputs'!K267)</f>
        <v>0</v>
      </c>
      <c r="L265" s="10">
        <f>SUM('Model inputs'!L266,'Model inputs'!L267)</f>
        <v>0.13</v>
      </c>
      <c r="M265" s="10">
        <f>SUM('Model inputs'!M266,'Model inputs'!M267)</f>
        <v>0.21005000000000001</v>
      </c>
      <c r="N265" s="10">
        <f>SUM('Model inputs'!N266,'Model inputs'!N267)</f>
        <v>0.28860925000000004</v>
      </c>
      <c r="O265" s="10">
        <f>SUM('Model inputs'!O266,'Model inputs'!O267)</f>
        <v>0.36570591125000007</v>
      </c>
      <c r="P265" s="10">
        <f>SUM('Model inputs'!P266,'Model inputs'!P267)</f>
        <v>0.44136760658125007</v>
      </c>
      <c r="Q265" s="10">
        <f>SUM('Model inputs'!Q266,'Model inputs'!Q267)</f>
        <v>0.5156214308025313</v>
      </c>
      <c r="R265" s="10">
        <f>SUM('Model inputs'!R266,'Model inputs'!R267)</f>
        <v>0.5884939608940933</v>
      </c>
      <c r="S265" s="10">
        <f>SUM('Model inputs'!S266,'Model inputs'!S267)</f>
        <v>0.66001126600321</v>
      </c>
      <c r="T265" s="10">
        <f>SUM('Model inputs'!T266,'Model inputs'!T267)</f>
        <v>0.7301989172452392</v>
      </c>
      <c r="U265" s="10">
        <f>SUM('Model inputs'!U266,'Model inputs'!U267)</f>
        <v>0.7990819973139967</v>
      </c>
      <c r="V265" s="10">
        <f>SUM('Model inputs'!V266,'Model inputs'!V267)</f>
        <v>0.8666851099051738</v>
      </c>
      <c r="W265" s="10">
        <f>SUM('Model inputs'!W266,'Model inputs'!W267)</f>
        <v>0.9330323889564656</v>
      </c>
      <c r="X265" s="10">
        <f>SUM('Model inputs'!X266,'Model inputs'!X267)</f>
        <v>0.9981475077079908</v>
      </c>
      <c r="Y265" s="10">
        <f>SUM('Model inputs'!Y266,'Model inputs'!Y267)</f>
        <v>1.0620536875865254</v>
      </c>
      <c r="Z265" s="10">
        <f>SUM('Model inputs'!Z266,'Model inputs'!Z267)</f>
        <v>1.124773706916999</v>
      </c>
      <c r="AA265" s="10">
        <f>SUM('Model inputs'!AA266,'Model inputs'!AA267)</f>
        <v>1.18632990946463</v>
      </c>
      <c r="AB265" s="10">
        <f>SUM('Model inputs'!AB266,'Model inputs'!AB267)</f>
        <v>1.2467442128110189</v>
      </c>
      <c r="AC265" s="10">
        <f>SUM('Model inputs'!AC266,'Model inputs'!AC267)</f>
        <v>1.3060381165674448</v>
      </c>
      <c r="AD265" s="10">
        <f>SUM('Model inputs'!AD266,'Model inputs'!AD267)</f>
        <v>1.3642327104285525</v>
      </c>
      <c r="AE265" s="10">
        <f>SUM('Model inputs'!AE266,'Model inputs'!AE267)</f>
        <v>1.4213486820695511</v>
      </c>
      <c r="AF265" s="10">
        <f>SUM('Model inputs'!AF266,'Model inputs'!AF267)</f>
        <v>1.4774063248899862</v>
      </c>
      <c r="AG265" s="10">
        <f>SUM('Model inputs'!AG266,'Model inputs'!AG267)</f>
        <v>1.5324255456070857</v>
      </c>
      <c r="AH265" s="10">
        <f>SUM('Model inputs'!AH266,'Model inputs'!AH267)</f>
        <v>1.586425871701619</v>
      </c>
      <c r="AI265" s="10">
        <f>SUM('Model inputs'!AI266,'Model inputs'!AI267)</f>
        <v>1.6394264587191618</v>
      </c>
    </row>
    <row r="266" outlineLevel="1">
      <c r="A266" t="inlineStr" s="23">
        <is>
          <t xml:space="preserve">Lost stores &gt; Growing shop</t>
        </is>
      </c>
      <c r="C266" s="8">
        <f>'Model inputs'!C71</f>
        <v>0</v>
      </c>
      <c r="D266" s="8">
        <f>'Model inputs'!D71</f>
        <v>0</v>
      </c>
      <c r="E266" s="8">
        <f>'Model inputs'!E71</f>
        <v>0</v>
      </c>
      <c r="F266" s="8">
        <f>'Model inputs'!F71</f>
        <v>0</v>
      </c>
      <c r="G266" s="8">
        <f>'Model inputs'!G71</f>
        <v>0</v>
      </c>
      <c r="H266" s="8">
        <f>'Model inputs'!H71</f>
        <v>0</v>
      </c>
      <c r="I266" s="8">
        <f>'Model inputs'!I71</f>
        <v>0</v>
      </c>
      <c r="J266" s="8">
        <f>'Model inputs'!J71</f>
        <v>0</v>
      </c>
      <c r="K266" s="8">
        <f>'SwapDesk — Operations · Merchan'!B12</f>
        <v>0</v>
      </c>
      <c r="L266" s="8">
        <f>'Model inputs'!L280*'Model inputs'!B318</f>
        <v>0.03</v>
      </c>
      <c r="M266" s="8">
        <f>'Model inputs'!M280*'Model inputs'!B318</f>
        <v>0.05205</v>
      </c>
      <c r="N266" s="8">
        <f>'Model inputs'!N280*'Model inputs'!B318</f>
        <v>0.07376925</v>
      </c>
      <c r="O266" s="8">
        <f>'Model inputs'!O280*'Model inputs'!B318</f>
        <v>0.09516271125</v>
      </c>
      <c r="P266" s="8">
        <f>'Model inputs'!P280*'Model inputs'!B318</f>
        <v>0.11623527058125</v>
      </c>
      <c r="Q266" s="8">
        <f>'Model inputs'!Q280*'Model inputs'!B318</f>
        <v>0.13699174152253124</v>
      </c>
      <c r="R266" s="8">
        <f>'Model inputs'!R280*'Model inputs'!B318</f>
        <v>0.1574368653996933</v>
      </c>
      <c r="S266" s="8">
        <f>'Model inputs'!S280*'Model inputs'!B318</f>
        <v>0.1775753124186979</v>
      </c>
      <c r="T266" s="8">
        <f>'Model inputs'!T280*'Model inputs'!B318</f>
        <v>0.1974116827324174</v>
      </c>
      <c r="U266" s="8">
        <f>'Model inputs'!U280*'Model inputs'!B318</f>
        <v>0.21695050749143116</v>
      </c>
      <c r="V266" s="8">
        <f>'Model inputs'!V280*'Model inputs'!B318</f>
        <v>0.23619624987905968</v>
      </c>
      <c r="W266" s="8">
        <f>'Model inputs'!W280*'Model inputs'!B318</f>
        <v>0.2551533061308738</v>
      </c>
      <c r="X266" s="8">
        <f>'Model inputs'!X280*'Model inputs'!B318</f>
        <v>0.27382600653891065</v>
      </c>
      <c r="Y266" s="8">
        <f>'Model inputs'!Y280*'Model inputs'!B318</f>
        <v>0.292218616440827</v>
      </c>
      <c r="Z266" s="8">
        <f>'Model inputs'!Z280*'Model inputs'!B318</f>
        <v>0.3103353371942146</v>
      </c>
      <c r="AA266" s="8">
        <f>'Model inputs'!AA280*'Model inputs'!B318</f>
        <v>0.32818030713630136</v>
      </c>
      <c r="AB266" s="8">
        <f>'Model inputs'!AB280*'Model inputs'!B318</f>
        <v>0.34575760252925686</v>
      </c>
      <c r="AC266" s="8">
        <f>'Model inputs'!AC280*'Model inputs'!B318</f>
        <v>0.363071238491318</v>
      </c>
      <c r="AD266" s="8">
        <f>'Model inputs'!AD280*'Model inputs'!B318</f>
        <v>0.3801251699139482</v>
      </c>
      <c r="AE266" s="8">
        <f>'Model inputs'!AE280*'Model inputs'!B318</f>
        <v>0.396923292365239</v>
      </c>
      <c r="AF266" s="8">
        <f>'Model inputs'!AF280*'Model inputs'!B318</f>
        <v>0.41346944297976035</v>
      </c>
      <c r="AG266" s="8">
        <f>'Model inputs'!AG280*'Model inputs'!B318</f>
        <v>0.42976740133506397</v>
      </c>
      <c r="AH266" s="8">
        <f>'Model inputs'!AH280*'Model inputs'!B318</f>
        <v>0.445820890315038</v>
      </c>
      <c r="AI266" s="8">
        <f>'Model inputs'!AI280*'Model inputs'!B318</f>
        <v>0.46163357696031243</v>
      </c>
    </row>
    <row r="267" outlineLevel="1">
      <c r="A267" t="inlineStr" s="23">
        <is>
          <t xml:space="preserve">Lost stores &gt; Small shop</t>
        </is>
      </c>
      <c r="C267" s="8">
        <f>'Model inputs'!C72</f>
        <v>0</v>
      </c>
      <c r="D267" s="8">
        <f>'Model inputs'!D72</f>
        <v>0</v>
      </c>
      <c r="E267" s="8">
        <f>'Model inputs'!E72</f>
        <v>0</v>
      </c>
      <c r="F267" s="8">
        <f>'Model inputs'!F72</f>
        <v>0</v>
      </c>
      <c r="G267" s="8">
        <f>'Model inputs'!G72</f>
        <v>0</v>
      </c>
      <c r="H267" s="8">
        <f>'Model inputs'!H72</f>
        <v>0</v>
      </c>
      <c r="I267" s="8">
        <f>'Model inputs'!I72</f>
        <v>0</v>
      </c>
      <c r="J267" s="8">
        <f>'Model inputs'!J72</f>
        <v>0</v>
      </c>
      <c r="K267" s="8">
        <f>'SwapDesk — Operations · Merchan'!B13</f>
        <v>0</v>
      </c>
      <c r="L267" s="8">
        <f>'Model inputs'!L281*'Model inputs'!B319</f>
        <v>0.1</v>
      </c>
      <c r="M267" s="8">
        <f>'Model inputs'!M281*'Model inputs'!B319</f>
        <v>0.158</v>
      </c>
      <c r="N267" s="8">
        <f>'Model inputs'!N281*'Model inputs'!B319</f>
        <v>0.21484000000000003</v>
      </c>
      <c r="O267" s="8">
        <f>'Model inputs'!O281*'Model inputs'!B319</f>
        <v>0.27054320000000004</v>
      </c>
      <c r="P267" s="8">
        <f>'Model inputs'!P281*'Model inputs'!B319</f>
        <v>0.3251323360000001</v>
      </c>
      <c r="Q267" s="8">
        <f>'Model inputs'!Q281*'Model inputs'!B319</f>
        <v>0.37862968928000007</v>
      </c>
      <c r="R267" s="8">
        <f>'Model inputs'!R281*'Model inputs'!B319</f>
        <v>0.4310570954944001</v>
      </c>
      <c r="S267" s="8">
        <f>'Model inputs'!S281*'Model inputs'!B319</f>
        <v>0.4824359535845121</v>
      </c>
      <c r="T267" s="8">
        <f>'Model inputs'!T281*'Model inputs'!B319</f>
        <v>0.5327872345128218</v>
      </c>
      <c r="U267" s="8">
        <f>'Model inputs'!U281*'Model inputs'!B319</f>
        <v>0.5821314898225655</v>
      </c>
      <c r="V267" s="8">
        <f>'Model inputs'!V281*'Model inputs'!B319</f>
        <v>0.6304888600261142</v>
      </c>
      <c r="W267" s="8">
        <f>'Model inputs'!W281*'Model inputs'!B319</f>
        <v>0.6778790828255918</v>
      </c>
      <c r="X267" s="8">
        <f>'Model inputs'!X281*'Model inputs'!B319</f>
        <v>0.7243215011690801</v>
      </c>
      <c r="Y267" s="8">
        <f>'Model inputs'!Y281*'Model inputs'!B319</f>
        <v>0.7698350711456985</v>
      </c>
      <c r="Z267" s="8">
        <f>'Model inputs'!Z281*'Model inputs'!B319</f>
        <v>0.8144383697227845</v>
      </c>
      <c r="AA267" s="8">
        <f>'Model inputs'!AA281*'Model inputs'!B319</f>
        <v>0.8581496023283287</v>
      </c>
      <c r="AB267" s="8">
        <f>'Model inputs'!AB281*'Model inputs'!B319</f>
        <v>0.9009866102817621</v>
      </c>
      <c r="AC267" s="8">
        <f>'Model inputs'!AC281*'Model inputs'!B319</f>
        <v>0.9429668780761269</v>
      </c>
      <c r="AD267" s="8">
        <f>'Model inputs'!AD281*'Model inputs'!B319</f>
        <v>0.9841075405146044</v>
      </c>
      <c r="AE267" s="8">
        <f>'Model inputs'!AE281*'Model inputs'!B319</f>
        <v>1.024425389704312</v>
      </c>
      <c r="AF267" s="8">
        <f>'Model inputs'!AF281*'Model inputs'!B319</f>
        <v>1.063936881910226</v>
      </c>
      <c r="AG267" s="8">
        <f>'Model inputs'!AG281*'Model inputs'!B319</f>
        <v>1.1026581442720216</v>
      </c>
      <c r="AH267" s="8">
        <f>'Model inputs'!AH281*'Model inputs'!B319</f>
        <v>1.140604981386581</v>
      </c>
      <c r="AI267" s="8">
        <f>'Model inputs'!AI281*'Model inputs'!B319</f>
        <v>1.1777928817588494</v>
      </c>
    </row>
    <row r="268">
      <c r="A268" t="inlineStr" s="22">
        <is>
          <t xml:space="preserve">New stores</t>
        </is>
      </c>
      <c r="C268" s="10">
        <f>SUM('Model inputs'!C269,'Model inputs'!C270)</f>
        <v>0</v>
      </c>
      <c r="D268" s="10">
        <f>SUM('Model inputs'!D269,'Model inputs'!D270)</f>
        <v>0</v>
      </c>
      <c r="E268" s="10">
        <f>SUM('Model inputs'!E269,'Model inputs'!E270)</f>
        <v>0</v>
      </c>
      <c r="F268" s="10">
        <f>SUM('Model inputs'!F269,'Model inputs'!F270)</f>
        <v>0</v>
      </c>
      <c r="G268" s="10">
        <f>SUM('Model inputs'!G269,'Model inputs'!G270)</f>
        <v>0</v>
      </c>
      <c r="H268" s="10">
        <f>SUM('Model inputs'!H269,'Model inputs'!H270)</f>
        <v>0</v>
      </c>
      <c r="I268" s="10">
        <f>SUM('Model inputs'!I269,'Model inputs'!I270)</f>
        <v>0</v>
      </c>
      <c r="J268" s="10">
        <f>SUM('Model inputs'!J269,'Model inputs'!J270)</f>
        <v>0</v>
      </c>
      <c r="K268" s="10">
        <f>SUM('Model inputs'!K269,'Model inputs'!K270)</f>
        <v>0</v>
      </c>
      <c r="L268" s="10">
        <f>SUM('Model inputs'!L269,'Model inputs'!L270)</f>
        <v>1.5</v>
      </c>
      <c r="M268" s="10">
        <f>SUM('Model inputs'!M269,'Model inputs'!M270)</f>
        <v>1.5</v>
      </c>
      <c r="N268" s="10">
        <f>SUM('Model inputs'!N269,'Model inputs'!N270)</f>
        <v>1.5</v>
      </c>
      <c r="O268" s="10">
        <f>SUM('Model inputs'!O269,'Model inputs'!O270)</f>
        <v>1.5</v>
      </c>
      <c r="P268" s="10">
        <f>SUM('Model inputs'!P269,'Model inputs'!P270)</f>
        <v>1.5</v>
      </c>
      <c r="Q268" s="10">
        <f>SUM('Model inputs'!Q269,'Model inputs'!Q270)</f>
        <v>1.5</v>
      </c>
      <c r="R268" s="10">
        <f>SUM('Model inputs'!R269,'Model inputs'!R270)</f>
        <v>1.5</v>
      </c>
      <c r="S268" s="10">
        <f>SUM('Model inputs'!S269,'Model inputs'!S270)</f>
        <v>1.5</v>
      </c>
      <c r="T268" s="10">
        <f>SUM('Model inputs'!T269,'Model inputs'!T270)</f>
        <v>1.5</v>
      </c>
      <c r="U268" s="10">
        <f>SUM('Model inputs'!U269,'Model inputs'!U270)</f>
        <v>1.5</v>
      </c>
      <c r="V268" s="10">
        <f>SUM('Model inputs'!V269,'Model inputs'!V270)</f>
        <v>1.5</v>
      </c>
      <c r="W268" s="10">
        <f>SUM('Model inputs'!W269,'Model inputs'!W270)</f>
        <v>1.5</v>
      </c>
      <c r="X268" s="10">
        <f>SUM('Model inputs'!X269,'Model inputs'!X270)</f>
        <v>1.5</v>
      </c>
      <c r="Y268" s="10">
        <f>SUM('Model inputs'!Y269,'Model inputs'!Y270)</f>
        <v>1.5</v>
      </c>
      <c r="Z268" s="10">
        <f>SUM('Model inputs'!Z269,'Model inputs'!Z270)</f>
        <v>1.5</v>
      </c>
      <c r="AA268" s="10">
        <f>SUM('Model inputs'!AA269,'Model inputs'!AA270)</f>
        <v>1.5</v>
      </c>
      <c r="AB268" s="10">
        <f>SUM('Model inputs'!AB269,'Model inputs'!AB270)</f>
        <v>1.5</v>
      </c>
      <c r="AC268" s="10">
        <f>SUM('Model inputs'!AC269,'Model inputs'!AC270)</f>
        <v>1.5</v>
      </c>
      <c r="AD268" s="10">
        <f>SUM('Model inputs'!AD269,'Model inputs'!AD270)</f>
        <v>1.5</v>
      </c>
      <c r="AE268" s="10">
        <f>SUM('Model inputs'!AE269,'Model inputs'!AE270)</f>
        <v>1.5</v>
      </c>
      <c r="AF268" s="10">
        <f>SUM('Model inputs'!AF269,'Model inputs'!AF270)</f>
        <v>1.5</v>
      </c>
      <c r="AG268" s="10">
        <f>SUM('Model inputs'!AG269,'Model inputs'!AG270)</f>
        <v>1.5</v>
      </c>
      <c r="AH268" s="10">
        <f>SUM('Model inputs'!AH269,'Model inputs'!AH270)</f>
        <v>1.5</v>
      </c>
      <c r="AI268" s="10">
        <f>SUM('Model inputs'!AI269,'Model inputs'!AI270)</f>
        <v>1.5</v>
      </c>
    </row>
    <row r="269" outlineLevel="1">
      <c r="A269" t="inlineStr" s="23">
        <is>
          <t xml:space="preserve">New stores &gt; Growing shop</t>
        </is>
      </c>
      <c r="C269" s="8">
        <f>'Model inputs'!C74</f>
        <v>0</v>
      </c>
      <c r="D269" s="8">
        <f>'Model inputs'!D74</f>
        <v>0</v>
      </c>
      <c r="E269" s="8">
        <f>'Model inputs'!E74</f>
        <v>0</v>
      </c>
      <c r="F269" s="8">
        <f>'Model inputs'!F74</f>
        <v>0</v>
      </c>
      <c r="G269" s="8">
        <f>'Model inputs'!G74</f>
        <v>0</v>
      </c>
      <c r="H269" s="8">
        <f>'Model inputs'!H74</f>
        <v>0</v>
      </c>
      <c r="I269" s="8">
        <f>'Model inputs'!I74</f>
        <v>0</v>
      </c>
      <c r="J269" s="8">
        <f>'Model inputs'!J74</f>
        <v>0</v>
      </c>
      <c r="K269" s="8">
        <f>'SwapDesk — Operations · Merchan'!B9</f>
        <v>0</v>
      </c>
      <c r="L269" s="8">
        <f>IF('Model inputs'!B321="","",'Model inputs'!B321)</f>
        <v>0.5</v>
      </c>
      <c r="M269" s="8">
        <f>IF('Model inputs'!B321="","",'Model inputs'!B321)</f>
        <v>0.5</v>
      </c>
      <c r="N269" s="8">
        <f>IF('Model inputs'!B321="","",'Model inputs'!B321)</f>
        <v>0.5</v>
      </c>
      <c r="O269" s="8">
        <f>IF('Model inputs'!B321="","",'Model inputs'!B321)</f>
        <v>0.5</v>
      </c>
      <c r="P269" s="8">
        <f>IF('Model inputs'!B321="","",'Model inputs'!B321)</f>
        <v>0.5</v>
      </c>
      <c r="Q269" s="8">
        <f>IF('Model inputs'!B321="","",'Model inputs'!B321)</f>
        <v>0.5</v>
      </c>
      <c r="R269" s="8">
        <f>IF('Model inputs'!B321="","",'Model inputs'!B321)</f>
        <v>0.5</v>
      </c>
      <c r="S269" s="8">
        <f>IF('Model inputs'!B321="","",'Model inputs'!B321)</f>
        <v>0.5</v>
      </c>
      <c r="T269" s="8">
        <f>IF('Model inputs'!B321="","",'Model inputs'!B321)</f>
        <v>0.5</v>
      </c>
      <c r="U269" s="8">
        <f>IF('Model inputs'!B321="","",'Model inputs'!B321)</f>
        <v>0.5</v>
      </c>
      <c r="V269" s="8">
        <f>IF('Model inputs'!B321="","",'Model inputs'!B321)</f>
        <v>0.5</v>
      </c>
      <c r="W269" s="8">
        <f>IF('Model inputs'!B321="","",'Model inputs'!B321)</f>
        <v>0.5</v>
      </c>
      <c r="X269" s="8">
        <f>IF('Model inputs'!B321="","",'Model inputs'!B321)</f>
        <v>0.5</v>
      </c>
      <c r="Y269" s="8">
        <f>IF('Model inputs'!B321="","",'Model inputs'!B321)</f>
        <v>0.5</v>
      </c>
      <c r="Z269" s="8">
        <f>IF('Model inputs'!B321="","",'Model inputs'!B321)</f>
        <v>0.5</v>
      </c>
      <c r="AA269" s="8">
        <f>IF('Model inputs'!B321="","",'Model inputs'!B321)</f>
        <v>0.5</v>
      </c>
      <c r="AB269" s="8">
        <f>IF('Model inputs'!B321="","",'Model inputs'!B321)</f>
        <v>0.5</v>
      </c>
      <c r="AC269" s="8">
        <f>IF('Model inputs'!B321="","",'Model inputs'!B321)</f>
        <v>0.5</v>
      </c>
      <c r="AD269" s="8">
        <f>IF('Model inputs'!B321="","",'Model inputs'!B321)</f>
        <v>0.5</v>
      </c>
      <c r="AE269" s="8">
        <f>IF('Model inputs'!B321="","",'Model inputs'!B321)</f>
        <v>0.5</v>
      </c>
      <c r="AF269" s="8">
        <f>IF('Model inputs'!B321="","",'Model inputs'!B321)</f>
        <v>0.5</v>
      </c>
      <c r="AG269" s="8">
        <f>IF('Model inputs'!B321="","",'Model inputs'!B321)</f>
        <v>0.5</v>
      </c>
      <c r="AH269" s="8">
        <f>IF('Model inputs'!B321="","",'Model inputs'!B321)</f>
        <v>0.5</v>
      </c>
      <c r="AI269" s="8">
        <f>IF('Model inputs'!B321="","",'Model inputs'!B321)</f>
        <v>0.5</v>
      </c>
    </row>
    <row r="270" outlineLevel="1">
      <c r="A270" t="inlineStr" s="23">
        <is>
          <t xml:space="preserve">New stores &gt; Small shop</t>
        </is>
      </c>
      <c r="C270" s="8">
        <f>'Model inputs'!C75</f>
        <v>0</v>
      </c>
      <c r="D270" s="8">
        <f>'Model inputs'!D75</f>
        <v>0</v>
      </c>
      <c r="E270" s="8">
        <f>'Model inputs'!E75</f>
        <v>0</v>
      </c>
      <c r="F270" s="8">
        <f>'Model inputs'!F75</f>
        <v>0</v>
      </c>
      <c r="G270" s="8">
        <f>'Model inputs'!G75</f>
        <v>0</v>
      </c>
      <c r="H270" s="8">
        <f>'Model inputs'!H75</f>
        <v>0</v>
      </c>
      <c r="I270" s="8">
        <f>'Model inputs'!I75</f>
        <v>0</v>
      </c>
      <c r="J270" s="8">
        <f>'Model inputs'!J75</f>
        <v>0</v>
      </c>
      <c r="K270" s="8">
        <f>'SwapDesk — Operations · Merchan'!B10</f>
        <v>0</v>
      </c>
      <c r="L270" s="8">
        <f>IF('Model inputs'!B322="","",'Model inputs'!B322)</f>
        <v>1</v>
      </c>
      <c r="M270" s="8">
        <f>IF('Model inputs'!B322="","",'Model inputs'!B322)</f>
        <v>1</v>
      </c>
      <c r="N270" s="8">
        <f>IF('Model inputs'!B322="","",'Model inputs'!B322)</f>
        <v>1</v>
      </c>
      <c r="O270" s="8">
        <f>IF('Model inputs'!B322="","",'Model inputs'!B322)</f>
        <v>1</v>
      </c>
      <c r="P270" s="8">
        <f>IF('Model inputs'!B322="","",'Model inputs'!B322)</f>
        <v>1</v>
      </c>
      <c r="Q270" s="8">
        <f>IF('Model inputs'!B322="","",'Model inputs'!B322)</f>
        <v>1</v>
      </c>
      <c r="R270" s="8">
        <f>IF('Model inputs'!B322="","",'Model inputs'!B322)</f>
        <v>1</v>
      </c>
      <c r="S270" s="8">
        <f>IF('Model inputs'!B322="","",'Model inputs'!B322)</f>
        <v>1</v>
      </c>
      <c r="T270" s="8">
        <f>IF('Model inputs'!B322="","",'Model inputs'!B322)</f>
        <v>1</v>
      </c>
      <c r="U270" s="8">
        <f>IF('Model inputs'!B322="","",'Model inputs'!B322)</f>
        <v>1</v>
      </c>
      <c r="V270" s="8">
        <f>IF('Model inputs'!B322="","",'Model inputs'!B322)</f>
        <v>1</v>
      </c>
      <c r="W270" s="8">
        <f>IF('Model inputs'!B322="","",'Model inputs'!B322)</f>
        <v>1</v>
      </c>
      <c r="X270" s="8">
        <f>IF('Model inputs'!B322="","",'Model inputs'!B322)</f>
        <v>1</v>
      </c>
      <c r="Y270" s="8">
        <f>IF('Model inputs'!B322="","",'Model inputs'!B322)</f>
        <v>1</v>
      </c>
      <c r="Z270" s="8">
        <f>IF('Model inputs'!B322="","",'Model inputs'!B322)</f>
        <v>1</v>
      </c>
      <c r="AA270" s="8">
        <f>IF('Model inputs'!B322="","",'Model inputs'!B322)</f>
        <v>1</v>
      </c>
      <c r="AB270" s="8">
        <f>IF('Model inputs'!B322="","",'Model inputs'!B322)</f>
        <v>1</v>
      </c>
      <c r="AC270" s="8">
        <f>IF('Model inputs'!B322="","",'Model inputs'!B322)</f>
        <v>1</v>
      </c>
      <c r="AD270" s="8">
        <f>IF('Model inputs'!B322="","",'Model inputs'!B322)</f>
        <v>1</v>
      </c>
      <c r="AE270" s="8">
        <f>IF('Model inputs'!B322="","",'Model inputs'!B322)</f>
        <v>1</v>
      </c>
      <c r="AF270" s="8">
        <f>IF('Model inputs'!B322="","",'Model inputs'!B322)</f>
        <v>1</v>
      </c>
      <c r="AG270" s="8">
        <f>IF('Model inputs'!B322="","",'Model inputs'!B322)</f>
        <v>1</v>
      </c>
      <c r="AH270" s="8">
        <f>IF('Model inputs'!B322="","",'Model inputs'!B322)</f>
        <v>1</v>
      </c>
      <c r="AI270" s="8">
        <f>IF('Model inputs'!B322="","",'Model inputs'!B322)</f>
        <v>1</v>
      </c>
    </row>
    <row r="271">
      <c r="A271" t="inlineStr" s="22">
        <is>
          <t xml:space="preserve">New stores</t>
        </is>
      </c>
      <c r="C271" s="10">
        <f>SUM('Model inputs'!C272,'Model inputs'!C273)</f>
        <v>0</v>
      </c>
      <c r="D271" s="10">
        <f>SUM('Model inputs'!D272,'Model inputs'!D273)</f>
        <v>0</v>
      </c>
      <c r="E271" s="10">
        <f>SUM('Model inputs'!E272,'Model inputs'!E273)</f>
        <v>0</v>
      </c>
      <c r="F271" s="10">
        <f>SUM('Model inputs'!F272,'Model inputs'!F273)</f>
        <v>0</v>
      </c>
      <c r="G271" s="10">
        <f>SUM('Model inputs'!G272,'Model inputs'!G273)</f>
        <v>0</v>
      </c>
      <c r="H271" s="10">
        <f>SUM('Model inputs'!H272,'Model inputs'!H273)</f>
        <v>0</v>
      </c>
      <c r="I271" s="10">
        <f>SUM('Model inputs'!I272,'Model inputs'!I273)</f>
        <v>0</v>
      </c>
      <c r="J271" s="10">
        <f>SUM('Model inputs'!J272,'Model inputs'!J273)</f>
        <v>0</v>
      </c>
      <c r="K271" s="10">
        <f>SUM('Model inputs'!K272,'Model inputs'!K273)</f>
        <v>0</v>
      </c>
      <c r="L271" s="10">
        <f>SUM('Model inputs'!L272,'Model inputs'!L273)</f>
        <v>4.5</v>
      </c>
      <c r="M271" s="10">
        <f>SUM('Model inputs'!M272,'Model inputs'!M273)</f>
        <v>4.5</v>
      </c>
      <c r="N271" s="10">
        <f>SUM('Model inputs'!N272,'Model inputs'!N273)</f>
        <v>4.5</v>
      </c>
      <c r="O271" s="10">
        <f>SUM('Model inputs'!O272,'Model inputs'!O273)</f>
        <v>4.5</v>
      </c>
      <c r="P271" s="10">
        <f>SUM('Model inputs'!P272,'Model inputs'!P273)</f>
        <v>4.5</v>
      </c>
      <c r="Q271" s="10">
        <f>SUM('Model inputs'!Q272,'Model inputs'!Q273)</f>
        <v>4.5</v>
      </c>
      <c r="R271" s="10">
        <f>SUM('Model inputs'!R272,'Model inputs'!R273)</f>
        <v>4.5</v>
      </c>
      <c r="S271" s="10">
        <f>SUM('Model inputs'!S272,'Model inputs'!S273)</f>
        <v>4.5</v>
      </c>
      <c r="T271" s="10">
        <f>SUM('Model inputs'!T272,'Model inputs'!T273)</f>
        <v>4.5</v>
      </c>
      <c r="U271" s="10">
        <f>SUM('Model inputs'!U272,'Model inputs'!U273)</f>
        <v>4.5</v>
      </c>
      <c r="V271" s="10">
        <f>SUM('Model inputs'!V272,'Model inputs'!V273)</f>
        <v>4.5</v>
      </c>
      <c r="W271" s="10">
        <f>SUM('Model inputs'!W272,'Model inputs'!W273)</f>
        <v>4.5</v>
      </c>
      <c r="X271" s="10">
        <f>SUM('Model inputs'!X272,'Model inputs'!X273)</f>
        <v>4.5</v>
      </c>
      <c r="Y271" s="10">
        <f>SUM('Model inputs'!Y272,'Model inputs'!Y273)</f>
        <v>4.5</v>
      </c>
      <c r="Z271" s="10">
        <f>SUM('Model inputs'!Z272,'Model inputs'!Z273)</f>
        <v>4.5</v>
      </c>
      <c r="AA271" s="10">
        <f>SUM('Model inputs'!AA272,'Model inputs'!AA273)</f>
        <v>4.5</v>
      </c>
      <c r="AB271" s="10">
        <f>SUM('Model inputs'!AB272,'Model inputs'!AB273)</f>
        <v>4.5</v>
      </c>
      <c r="AC271" s="10">
        <f>SUM('Model inputs'!AC272,'Model inputs'!AC273)</f>
        <v>4.5</v>
      </c>
      <c r="AD271" s="10">
        <f>SUM('Model inputs'!AD272,'Model inputs'!AD273)</f>
        <v>4.5</v>
      </c>
      <c r="AE271" s="10">
        <f>SUM('Model inputs'!AE272,'Model inputs'!AE273)</f>
        <v>4.5</v>
      </c>
      <c r="AF271" s="10">
        <f>SUM('Model inputs'!AF272,'Model inputs'!AF273)</f>
        <v>4.5</v>
      </c>
      <c r="AG271" s="10">
        <f>SUM('Model inputs'!AG272,'Model inputs'!AG273)</f>
        <v>4.5</v>
      </c>
      <c r="AH271" s="10">
        <f>SUM('Model inputs'!AH272,'Model inputs'!AH273)</f>
        <v>4.5</v>
      </c>
      <c r="AI271" s="10">
        <f>SUM('Model inputs'!AI272,'Model inputs'!AI273)</f>
        <v>4.5</v>
      </c>
    </row>
    <row r="272" outlineLevel="1">
      <c r="A272" t="inlineStr" s="23">
        <is>
          <t xml:space="preserve">New stores &gt; Growing shop</t>
        </is>
      </c>
      <c r="C272" s="8">
        <f>'Model inputs'!C74</f>
        <v>0</v>
      </c>
      <c r="D272" s="8">
        <f>'Model inputs'!D74</f>
        <v>0</v>
      </c>
      <c r="E272" s="8">
        <f>'Model inputs'!E74</f>
        <v>0</v>
      </c>
      <c r="F272" s="8">
        <f>'Model inputs'!F74</f>
        <v>0</v>
      </c>
      <c r="G272" s="8">
        <f>'Model inputs'!G74</f>
        <v>0</v>
      </c>
      <c r="H272" s="8">
        <f>'Model inputs'!H74</f>
        <v>0</v>
      </c>
      <c r="I272" s="8">
        <f>'Model inputs'!I74</f>
        <v>0</v>
      </c>
      <c r="J272" s="8">
        <f>'Model inputs'!J74</f>
        <v>0</v>
      </c>
      <c r="K272" s="8">
        <f>'SwapDesk — Operations · Merchan'!B9</f>
        <v>0</v>
      </c>
      <c r="L272" s="8">
        <f>IF('Model inputs'!B324="","",'Model inputs'!B324)</f>
        <v>1.5</v>
      </c>
      <c r="M272" s="8">
        <f>IF('Model inputs'!B324="","",'Model inputs'!B324)</f>
        <v>1.5</v>
      </c>
      <c r="N272" s="8">
        <f>IF('Model inputs'!B324="","",'Model inputs'!B324)</f>
        <v>1.5</v>
      </c>
      <c r="O272" s="8">
        <f>IF('Model inputs'!B324="","",'Model inputs'!B324)</f>
        <v>1.5</v>
      </c>
      <c r="P272" s="8">
        <f>IF('Model inputs'!B324="","",'Model inputs'!B324)</f>
        <v>1.5</v>
      </c>
      <c r="Q272" s="8">
        <f>IF('Model inputs'!B324="","",'Model inputs'!B324)</f>
        <v>1.5</v>
      </c>
      <c r="R272" s="8">
        <f>IF('Model inputs'!B324="","",'Model inputs'!B324)</f>
        <v>1.5</v>
      </c>
      <c r="S272" s="8">
        <f>IF('Model inputs'!B324="","",'Model inputs'!B324)</f>
        <v>1.5</v>
      </c>
      <c r="T272" s="8">
        <f>IF('Model inputs'!B324="","",'Model inputs'!B324)</f>
        <v>1.5</v>
      </c>
      <c r="U272" s="8">
        <f>IF('Model inputs'!B324="","",'Model inputs'!B324)</f>
        <v>1.5</v>
      </c>
      <c r="V272" s="8">
        <f>IF('Model inputs'!B324="","",'Model inputs'!B324)</f>
        <v>1.5</v>
      </c>
      <c r="W272" s="8">
        <f>IF('Model inputs'!B324="","",'Model inputs'!B324)</f>
        <v>1.5</v>
      </c>
      <c r="X272" s="8">
        <f>IF('Model inputs'!B324="","",'Model inputs'!B324)</f>
        <v>1.5</v>
      </c>
      <c r="Y272" s="8">
        <f>IF('Model inputs'!B324="","",'Model inputs'!B324)</f>
        <v>1.5</v>
      </c>
      <c r="Z272" s="8">
        <f>IF('Model inputs'!B324="","",'Model inputs'!B324)</f>
        <v>1.5</v>
      </c>
      <c r="AA272" s="8">
        <f>IF('Model inputs'!B324="","",'Model inputs'!B324)</f>
        <v>1.5</v>
      </c>
      <c r="AB272" s="8">
        <f>IF('Model inputs'!B324="","",'Model inputs'!B324)</f>
        <v>1.5</v>
      </c>
      <c r="AC272" s="8">
        <f>IF('Model inputs'!B324="","",'Model inputs'!B324)</f>
        <v>1.5</v>
      </c>
      <c r="AD272" s="8">
        <f>IF('Model inputs'!B324="","",'Model inputs'!B324)</f>
        <v>1.5</v>
      </c>
      <c r="AE272" s="8">
        <f>IF('Model inputs'!B324="","",'Model inputs'!B324)</f>
        <v>1.5</v>
      </c>
      <c r="AF272" s="8">
        <f>IF('Model inputs'!B324="","",'Model inputs'!B324)</f>
        <v>1.5</v>
      </c>
      <c r="AG272" s="8">
        <f>IF('Model inputs'!B324="","",'Model inputs'!B324)</f>
        <v>1.5</v>
      </c>
      <c r="AH272" s="8">
        <f>IF('Model inputs'!B324="","",'Model inputs'!B324)</f>
        <v>1.5</v>
      </c>
      <c r="AI272" s="8">
        <f>IF('Model inputs'!B324="","",'Model inputs'!B324)</f>
        <v>1.5</v>
      </c>
    </row>
    <row r="273" outlineLevel="1">
      <c r="A273" t="inlineStr" s="23">
        <is>
          <t xml:space="preserve">New stores &gt; Small shop</t>
        </is>
      </c>
      <c r="C273" s="8">
        <f>'Model inputs'!C75</f>
        <v>0</v>
      </c>
      <c r="D273" s="8">
        <f>'Model inputs'!D75</f>
        <v>0</v>
      </c>
      <c r="E273" s="8">
        <f>'Model inputs'!E75</f>
        <v>0</v>
      </c>
      <c r="F273" s="8">
        <f>'Model inputs'!F75</f>
        <v>0</v>
      </c>
      <c r="G273" s="8">
        <f>'Model inputs'!G75</f>
        <v>0</v>
      </c>
      <c r="H273" s="8">
        <f>'Model inputs'!H75</f>
        <v>0</v>
      </c>
      <c r="I273" s="8">
        <f>'Model inputs'!I75</f>
        <v>0</v>
      </c>
      <c r="J273" s="8">
        <f>'Model inputs'!J75</f>
        <v>0</v>
      </c>
      <c r="K273" s="8">
        <f>'SwapDesk — Operations · Merchan'!B10</f>
        <v>0</v>
      </c>
      <c r="L273" s="8">
        <f>IF('Model inputs'!B325="","",'Model inputs'!B325)</f>
        <v>3</v>
      </c>
      <c r="M273" s="8">
        <f>IF('Model inputs'!B325="","",'Model inputs'!B325)</f>
        <v>3</v>
      </c>
      <c r="N273" s="8">
        <f>IF('Model inputs'!B325="","",'Model inputs'!B325)</f>
        <v>3</v>
      </c>
      <c r="O273" s="8">
        <f>IF('Model inputs'!B325="","",'Model inputs'!B325)</f>
        <v>3</v>
      </c>
      <c r="P273" s="8">
        <f>IF('Model inputs'!B325="","",'Model inputs'!B325)</f>
        <v>3</v>
      </c>
      <c r="Q273" s="8">
        <f>IF('Model inputs'!B325="","",'Model inputs'!B325)</f>
        <v>3</v>
      </c>
      <c r="R273" s="8">
        <f>IF('Model inputs'!B325="","",'Model inputs'!B325)</f>
        <v>3</v>
      </c>
      <c r="S273" s="8">
        <f>IF('Model inputs'!B325="","",'Model inputs'!B325)</f>
        <v>3</v>
      </c>
      <c r="T273" s="8">
        <f>IF('Model inputs'!B325="","",'Model inputs'!B325)</f>
        <v>3</v>
      </c>
      <c r="U273" s="8">
        <f>IF('Model inputs'!B325="","",'Model inputs'!B325)</f>
        <v>3</v>
      </c>
      <c r="V273" s="8">
        <f>IF('Model inputs'!B325="","",'Model inputs'!B325)</f>
        <v>3</v>
      </c>
      <c r="W273" s="8">
        <f>IF('Model inputs'!B325="","",'Model inputs'!B325)</f>
        <v>3</v>
      </c>
      <c r="X273" s="8">
        <f>IF('Model inputs'!B325="","",'Model inputs'!B325)</f>
        <v>3</v>
      </c>
      <c r="Y273" s="8">
        <f>IF('Model inputs'!B325="","",'Model inputs'!B325)</f>
        <v>3</v>
      </c>
      <c r="Z273" s="8">
        <f>IF('Model inputs'!B325="","",'Model inputs'!B325)</f>
        <v>3</v>
      </c>
      <c r="AA273" s="8">
        <f>IF('Model inputs'!B325="","",'Model inputs'!B325)</f>
        <v>3</v>
      </c>
      <c r="AB273" s="8">
        <f>IF('Model inputs'!B325="","",'Model inputs'!B325)</f>
        <v>3</v>
      </c>
      <c r="AC273" s="8">
        <f>IF('Model inputs'!B325="","",'Model inputs'!B325)</f>
        <v>3</v>
      </c>
      <c r="AD273" s="8">
        <f>IF('Model inputs'!B325="","",'Model inputs'!B325)</f>
        <v>3</v>
      </c>
      <c r="AE273" s="8">
        <f>IF('Model inputs'!B325="","",'Model inputs'!B325)</f>
        <v>3</v>
      </c>
      <c r="AF273" s="8">
        <f>IF('Model inputs'!B325="","",'Model inputs'!B325)</f>
        <v>3</v>
      </c>
      <c r="AG273" s="8">
        <f>IF('Model inputs'!B325="","",'Model inputs'!B325)</f>
        <v>3</v>
      </c>
      <c r="AH273" s="8">
        <f>IF('Model inputs'!B325="","",'Model inputs'!B325)</f>
        <v>3</v>
      </c>
      <c r="AI273" s="8">
        <f>IF('Model inputs'!B325="","",'Model inputs'!B325)</f>
        <v>3</v>
      </c>
    </row>
    <row r="274">
      <c r="A274" t="inlineStr" s="22">
        <is>
          <t xml:space="preserve">Onboarding minutes · Onboarding cost · Bad Reliability · Bad Reliability</t>
        </is>
      </c>
      <c r="B274" s="8">
        <f>'SwapDesk — Assumptions · Commer'!B10</f>
        <v>90</v>
      </c>
    </row>
    <row r="275">
      <c r="A275" t="inlineStr" s="22">
        <is>
          <t xml:space="preserve">Onboarding minutes · Onboarding cost · Growth · Growth</t>
        </is>
      </c>
      <c r="B275" s="8">
        <f>'SwapDesk — Assumptions · Commer'!B10</f>
        <v>90</v>
      </c>
    </row>
    <row r="276">
      <c r="A276" t="inlineStr" s="22">
        <is>
          <t xml:space="preserve">Opening stores</t>
        </is>
      </c>
      <c r="C276" s="10">
        <f>SUM('Model inputs'!C277,'Model inputs'!C278)</f>
        <v>0</v>
      </c>
      <c r="D276" s="10">
        <f>SUM('Model inputs'!D277,'Model inputs'!D278)</f>
        <v>0</v>
      </c>
      <c r="E276" s="10">
        <f>SUM('Model inputs'!E277,'Model inputs'!E278)</f>
        <v>0</v>
      </c>
      <c r="F276" s="10">
        <f>SUM('Model inputs'!F277,'Model inputs'!F278)</f>
        <v>0</v>
      </c>
      <c r="G276" s="10">
        <f>SUM('Model inputs'!G277,'Model inputs'!G278)</f>
        <v>0</v>
      </c>
      <c r="H276" s="10">
        <f>SUM('Model inputs'!H277,'Model inputs'!H278)</f>
        <v>0</v>
      </c>
      <c r="I276" s="10">
        <f>SUM('Model inputs'!I277,'Model inputs'!I278)</f>
        <v>0</v>
      </c>
      <c r="J276" s="10">
        <f>SUM('Model inputs'!J277,'Model inputs'!J278)</f>
        <v>0</v>
      </c>
      <c r="K276" s="10">
        <f>SUM('Model inputs'!K277,'Model inputs'!K278)</f>
        <v>0</v>
      </c>
      <c r="L276" s="10">
        <f>SUM('Model inputs'!L277,'Model inputs'!L278)</f>
        <v>7</v>
      </c>
      <c r="M276" s="10">
        <f>SUM('Model inputs'!M277,'Model inputs'!M278)</f>
        <v>8.1</v>
      </c>
      <c r="N276" s="10">
        <f>SUM('Model inputs'!N277,'Model inputs'!N278)</f>
        <v>9.138</v>
      </c>
      <c r="O276" s="10">
        <f>SUM('Model inputs'!O277,'Model inputs'!O278)</f>
        <v>10.11752</v>
      </c>
      <c r="P276" s="10">
        <f>SUM('Model inputs'!P277,'Model inputs'!P278)</f>
        <v>11.041878800000001</v>
      </c>
      <c r="Q276" s="10">
        <f>SUM('Model inputs'!Q277,'Model inputs'!Q278)</f>
        <v>11.914205572</v>
      </c>
      <c r="R276" s="10">
        <f>SUM('Model inputs'!R277,'Model inputs'!R278)</f>
        <v>12.737450762679998</v>
      </c>
      <c r="S276" s="10">
        <f>SUM('Model inputs'!S277,'Model inputs'!S278)</f>
        <v>13.5143963656692</v>
      </c>
      <c r="T276" s="10">
        <f>SUM('Model inputs'!T277,'Model inputs'!T278)</f>
        <v>14.247665600041547</v>
      </c>
      <c r="U276" s="10">
        <f>SUM('Model inputs'!U277,'Model inputs'!U278)</f>
        <v>14.939732029535929</v>
      </c>
      <c r="V276" s="10">
        <f>SUM('Model inputs'!V277,'Model inputs'!V278)</f>
        <v>15.592928154985806</v>
      </c>
      <c r="W276" s="10">
        <f>SUM('Model inputs'!W277,'Model inputs'!W278)</f>
        <v>16.209453510547586</v>
      </c>
      <c r="X276" s="10">
        <f>SUM('Model inputs'!X277,'Model inputs'!X278)</f>
        <v>16.791382292532614</v>
      </c>
      <c r="Y276" s="10">
        <f>SUM('Model inputs'!Y277,'Model inputs'!Y278)</f>
        <v>17.340670547967648</v>
      </c>
      <c r="Z276" s="10">
        <f>SUM('Model inputs'!Z277,'Model inputs'!Z278)</f>
        <v>17.859162948427226</v>
      </c>
      <c r="AA276" s="10">
        <f>SUM('Model inputs'!AA277,'Model inputs'!AA278)</f>
        <v>18.348599173192355</v>
      </c>
      <c r="AB276" s="10">
        <f>SUM('Model inputs'!AB277,'Model inputs'!AB278)</f>
        <v>18.810619924388032</v>
      </c>
      <c r="AC276" s="10">
        <f>SUM('Model inputs'!AC277,'Model inputs'!AC278)</f>
        <v>19.24677259543261</v>
      </c>
      <c r="AD276" s="10">
        <f>SUM('Model inputs'!AD277,'Model inputs'!AD278)</f>
        <v>19.658516612889116</v>
      </c>
      <c r="AE276" s="10">
        <f>SUM('Model inputs'!AE277,'Model inputs'!AE278)</f>
        <v>20.047228470639112</v>
      </c>
      <c r="AF276" s="10">
        <f>SUM('Model inputs'!AF277,'Model inputs'!AF278)</f>
        <v>20.414206474197943</v>
      </c>
      <c r="AG276" s="10">
        <f>SUM('Model inputs'!AG277,'Model inputs'!AG278)</f>
        <v>20.760675211953384</v>
      </c>
      <c r="AH276" s="10">
        <f>SUM('Model inputs'!AH277,'Model inputs'!AH278)</f>
        <v>21.08778976913313</v>
      </c>
      <c r="AI276" s="10">
        <f>SUM('Model inputs'!AI277,'Model inputs'!AI278)</f>
        <v>21.396639699387247</v>
      </c>
    </row>
    <row r="277" outlineLevel="1">
      <c r="A277" t="inlineStr" s="23">
        <is>
          <t xml:space="preserve">Opening stores &gt; Growing shop</t>
        </is>
      </c>
      <c r="C277" s="8">
        <f>'Model inputs'!C77</f>
        <v>0</v>
      </c>
      <c r="D277" s="8">
        <f>'Model inputs'!D77</f>
        <v>0</v>
      </c>
      <c r="E277" s="8">
        <f>'Model inputs'!E77</f>
        <v>0</v>
      </c>
      <c r="F277" s="8">
        <f>'Model inputs'!F77</f>
        <v>0</v>
      </c>
      <c r="G277" s="8">
        <f>'Model inputs'!G77</f>
        <v>0</v>
      </c>
      <c r="H277" s="8">
        <f>'Model inputs'!H77</f>
        <v>0</v>
      </c>
      <c r="I277" s="8">
        <f>'Model inputs'!I77</f>
        <v>0</v>
      </c>
      <c r="J277" s="8">
        <f>'Model inputs'!J77</f>
        <v>0</v>
      </c>
      <c r="K277" s="8">
        <f>'SwapDesk — Operations · Merchan'!B6</f>
        <v>0</v>
      </c>
      <c r="L277" s="8">
        <f>IF('Model inputs'!K197="","",'Model inputs'!K197)</f>
        <v>2</v>
      </c>
      <c r="M277" s="8">
        <f>IF('Model inputs'!L197="","",'Model inputs'!L197)</f>
        <v>2.4</v>
      </c>
      <c r="N277" s="8">
        <f>IF('Model inputs'!M197="","",'Model inputs'!M197)</f>
        <v>2.78</v>
      </c>
      <c r="O277" s="8">
        <f>IF('Model inputs'!N197="","",'Model inputs'!N197)</f>
        <v>3.141</v>
      </c>
      <c r="P277" s="8">
        <f>IF('Model inputs'!O197="","",'Model inputs'!O197)</f>
        <v>3.48395</v>
      </c>
      <c r="Q277" s="8">
        <f>IF('Model inputs'!P197="","",'Model inputs'!P197)</f>
        <v>3.8097525</v>
      </c>
      <c r="R277" s="8">
        <f>IF('Model inputs'!Q197="","",'Model inputs'!Q197)</f>
        <v>4.119264875</v>
      </c>
      <c r="S277" s="8">
        <f>IF('Model inputs'!R197="","",'Model inputs'!R197)</f>
        <v>4.4133016312499995</v>
      </c>
      <c r="T277" s="8">
        <f>IF('Model inputs'!S197="","",'Model inputs'!S197)</f>
        <v>4.692636549687499</v>
      </c>
      <c r="U277" s="8">
        <f>IF('Model inputs'!T197="","",'Model inputs'!T197)</f>
        <v>4.958004722203125</v>
      </c>
      <c r="V277" s="8">
        <f>IF('Model inputs'!U197="","",'Model inputs'!U197)</f>
        <v>5.210104486092969</v>
      </c>
      <c r="W277" s="8">
        <f>IF('Model inputs'!V197="","",'Model inputs'!V197)</f>
        <v>5.44959926178832</v>
      </c>
      <c r="X277" s="8">
        <f>IF('Model inputs'!W197="","",'Model inputs'!W197)</f>
        <v>5.677119298698904</v>
      </c>
      <c r="Y277" s="8">
        <f>IF('Model inputs'!X197="","",'Model inputs'!X197)</f>
        <v>5.893263333763959</v>
      </c>
      <c r="Z277" s="8">
        <f>IF('Model inputs'!Y197="","",'Model inputs'!Y197)</f>
        <v>6.098600167075761</v>
      </c>
      <c r="AA277" s="8">
        <f>IF('Model inputs'!Z197="","",'Model inputs'!Z197)</f>
        <v>6.293670158721973</v>
      </c>
      <c r="AB277" s="8">
        <f>IF('Model inputs'!AA197="","",'Model inputs'!AA197)</f>
        <v>6.478986650785874</v>
      </c>
      <c r="AC277" s="8">
        <f>IF('Model inputs'!AB197="","",'Model inputs'!AB197)</f>
        <v>6.65503731824658</v>
      </c>
      <c r="AD277" s="8">
        <f>IF('Model inputs'!AC197="","",'Model inputs'!AC197)</f>
        <v>6.822285452334251</v>
      </c>
      <c r="AE277" s="8">
        <f>IF('Model inputs'!AD197="","",'Model inputs'!AD197)</f>
        <v>6.981171179717538</v>
      </c>
      <c r="AF277" s="8">
        <f>IF('Model inputs'!AE197="","",'Model inputs'!AE197)</f>
        <v>7.132112620731662</v>
      </c>
      <c r="AG277" s="8">
        <f>IF('Model inputs'!AF197="","",'Model inputs'!AF197)</f>
        <v>7.275506989695079</v>
      </c>
      <c r="AH277" s="8">
        <f>IF('Model inputs'!AG197="","",'Model inputs'!AG197)</f>
        <v>7.411731640210325</v>
      </c>
      <c r="AI277" s="8">
        <f>IF('Model inputs'!AH197="","",'Model inputs'!AH197)</f>
        <v>7.541145058199809</v>
      </c>
    </row>
    <row r="278" outlineLevel="1">
      <c r="A278" t="inlineStr" s="23">
        <is>
          <t xml:space="preserve">Opening stores &gt; Small shop</t>
        </is>
      </c>
      <c r="C278" s="8">
        <f>'Model inputs'!C78</f>
        <v>0</v>
      </c>
      <c r="D278" s="8">
        <f>'Model inputs'!D78</f>
        <v>0</v>
      </c>
      <c r="E278" s="8">
        <f>'Model inputs'!E78</f>
        <v>0</v>
      </c>
      <c r="F278" s="8">
        <f>'Model inputs'!F78</f>
        <v>0</v>
      </c>
      <c r="G278" s="8">
        <f>'Model inputs'!G78</f>
        <v>0</v>
      </c>
      <c r="H278" s="8">
        <f>'Model inputs'!H78</f>
        <v>0</v>
      </c>
      <c r="I278" s="8">
        <f>'Model inputs'!I78</f>
        <v>0</v>
      </c>
      <c r="J278" s="8">
        <f>'Model inputs'!J78</f>
        <v>0</v>
      </c>
      <c r="K278" s="8">
        <f>'SwapDesk — Operations · Merchan'!B7</f>
        <v>0</v>
      </c>
      <c r="L278" s="8">
        <f>IF('Model inputs'!K198="","",'Model inputs'!K198)</f>
        <v>5</v>
      </c>
      <c r="M278" s="8">
        <f>IF('Model inputs'!L198="","",'Model inputs'!L198)</f>
        <v>5.7</v>
      </c>
      <c r="N278" s="8">
        <f>IF('Model inputs'!M198="","",'Model inputs'!M198)</f>
        <v>6.3580000000000005</v>
      </c>
      <c r="O278" s="8">
        <f>IF('Model inputs'!N198="","",'Model inputs'!N198)</f>
        <v>6.976520000000001</v>
      </c>
      <c r="P278" s="8">
        <f>IF('Model inputs'!O198="","",'Model inputs'!O198)</f>
        <v>7.557928800000001</v>
      </c>
      <c r="Q278" s="8">
        <f>IF('Model inputs'!P198="","",'Model inputs'!P198)</f>
        <v>8.104453072</v>
      </c>
      <c r="R278" s="8">
        <f>IF('Model inputs'!Q198="","",'Model inputs'!Q198)</f>
        <v>8.61818588768</v>
      </c>
      <c r="S278" s="8">
        <f>IF('Model inputs'!R198="","",'Model inputs'!R198)</f>
        <v>9.101094734419199</v>
      </c>
      <c r="T278" s="8">
        <f>IF('Model inputs'!S198="","",'Model inputs'!S198)</f>
        <v>9.555029050354047</v>
      </c>
      <c r="U278" s="8">
        <f>IF('Model inputs'!T198="","",'Model inputs'!T198)</f>
        <v>9.981727307332804</v>
      </c>
      <c r="V278" s="8">
        <f>IF('Model inputs'!U198="","",'Model inputs'!U198)</f>
        <v>10.382823668892836</v>
      </c>
      <c r="W278" s="8">
        <f>IF('Model inputs'!V198="","",'Model inputs'!V198)</f>
        <v>10.759854248759266</v>
      </c>
      <c r="X278" s="8">
        <f>IF('Model inputs'!W198="","",'Model inputs'!W198)</f>
        <v>11.11426299383371</v>
      </c>
      <c r="Y278" s="8">
        <f>IF('Model inputs'!X198="","",'Model inputs'!X198)</f>
        <v>11.447407214203688</v>
      </c>
      <c r="Z278" s="8">
        <f>IF('Model inputs'!Y198="","",'Model inputs'!Y198)</f>
        <v>11.760562781351467</v>
      </c>
      <c r="AA278" s="8">
        <f>IF('Model inputs'!Z198="","",'Model inputs'!Z198)</f>
        <v>12.05492901447038</v>
      </c>
      <c r="AB278" s="8">
        <f>IF('Model inputs'!AA198="","",'Model inputs'!AA198)</f>
        <v>12.331633273602158</v>
      </c>
      <c r="AC278" s="8">
        <f>IF('Model inputs'!AB198="","",'Model inputs'!AB198)</f>
        <v>12.591735277186029</v>
      </c>
      <c r="AD278" s="8">
        <f>IF('Model inputs'!AC198="","",'Model inputs'!AC198)</f>
        <v>12.836231160554867</v>
      </c>
      <c r="AE278" s="8">
        <f>IF('Model inputs'!AD198="","",'Model inputs'!AD198)</f>
        <v>13.066057290921576</v>
      </c>
      <c r="AF278" s="8">
        <f>IF('Model inputs'!AE198="","",'Model inputs'!AE198)</f>
        <v>13.28209385346628</v>
      </c>
      <c r="AG278" s="8">
        <f>IF('Model inputs'!AF198="","",'Model inputs'!AF198)</f>
        <v>13.485168222258304</v>
      </c>
      <c r="AH278" s="8">
        <f>IF('Model inputs'!AG198="","",'Model inputs'!AG198)</f>
        <v>13.676058128922806</v>
      </c>
      <c r="AI278" s="8">
        <f>IF('Model inputs'!AH198="","",'Model inputs'!AH198)</f>
        <v>13.855494641187438</v>
      </c>
    </row>
    <row r="279">
      <c r="A279" t="inlineStr" s="22">
        <is>
          <t xml:space="preserve">Opening stores</t>
        </is>
      </c>
      <c r="C279" s="10">
        <f>SUM('Model inputs'!C280,'Model inputs'!C281)</f>
        <v>0</v>
      </c>
      <c r="D279" s="10">
        <f>SUM('Model inputs'!D280,'Model inputs'!D281)</f>
        <v>0</v>
      </c>
      <c r="E279" s="10">
        <f>SUM('Model inputs'!E280,'Model inputs'!E281)</f>
        <v>0</v>
      </c>
      <c r="F279" s="10">
        <f>SUM('Model inputs'!F280,'Model inputs'!F281)</f>
        <v>0</v>
      </c>
      <c r="G279" s="10">
        <f>SUM('Model inputs'!G280,'Model inputs'!G281)</f>
        <v>0</v>
      </c>
      <c r="H279" s="10">
        <f>SUM('Model inputs'!H280,'Model inputs'!H281)</f>
        <v>0</v>
      </c>
      <c r="I279" s="10">
        <f>SUM('Model inputs'!I280,'Model inputs'!I281)</f>
        <v>0</v>
      </c>
      <c r="J279" s="10">
        <f>SUM('Model inputs'!J280,'Model inputs'!J281)</f>
        <v>0</v>
      </c>
      <c r="K279" s="10">
        <f>SUM('Model inputs'!K280,'Model inputs'!K281)</f>
        <v>0</v>
      </c>
      <c r="L279" s="10">
        <f>SUM('Model inputs'!L280,'Model inputs'!L281)</f>
        <v>7</v>
      </c>
      <c r="M279" s="10">
        <f>SUM('Model inputs'!M280,'Model inputs'!M281)</f>
        <v>11.370000000000001</v>
      </c>
      <c r="N279" s="10">
        <f>SUM('Model inputs'!N280,'Model inputs'!N281)</f>
        <v>15.659950000000002</v>
      </c>
      <c r="O279" s="10">
        <f>SUM('Model inputs'!O280,'Model inputs'!O281)</f>
        <v>19.87134075</v>
      </c>
      <c r="P279" s="10">
        <f>SUM('Model inputs'!P280,'Model inputs'!P281)</f>
        <v>24.005634838750005</v>
      </c>
      <c r="Q279" s="10">
        <f>SUM('Model inputs'!Q280,'Model inputs'!Q281)</f>
        <v>28.064267232168753</v>
      </c>
      <c r="R279" s="10">
        <f>SUM('Model inputs'!R280,'Model inputs'!R281)</f>
        <v>32.04864580136622</v>
      </c>
      <c r="S279" s="10">
        <f>SUM('Model inputs'!S280,'Model inputs'!S281)</f>
        <v>35.96015184047213</v>
      </c>
      <c r="T279" s="10">
        <f>SUM('Model inputs'!T280,'Model inputs'!T281)</f>
        <v>39.80014057446892</v>
      </c>
      <c r="U279" s="10">
        <f>SUM('Model inputs'!U280,'Model inputs'!U281)</f>
        <v>43.56994165722368</v>
      </c>
      <c r="V279" s="10">
        <f>SUM('Model inputs'!V280,'Model inputs'!V281)</f>
        <v>47.27085965990969</v>
      </c>
      <c r="W279" s="10">
        <f>SUM('Model inputs'!W280,'Model inputs'!W281)</f>
        <v>50.90417455000451</v>
      </c>
      <c r="X279" s="10">
        <f>SUM('Model inputs'!X280,'Model inputs'!X281)</f>
        <v>54.47114216104805</v>
      </c>
      <c r="Y279" s="10">
        <f>SUM('Model inputs'!Y280,'Model inputs'!Y281)</f>
        <v>57.97299465334005</v>
      </c>
      <c r="Z279" s="10">
        <f>SUM('Model inputs'!Z280,'Model inputs'!Z281)</f>
        <v>61.410940965753525</v>
      </c>
      <c r="AA279" s="10">
        <f>SUM('Model inputs'!AA280,'Model inputs'!AA281)</f>
        <v>64.78616725883653</v>
      </c>
      <c r="AB279" s="10">
        <f>SUM('Model inputs'!AB280,'Model inputs'!AB281)</f>
        <v>68.0998373493719</v>
      </c>
      <c r="AC279" s="10">
        <f>SUM('Model inputs'!AC280,'Model inputs'!AC281)</f>
        <v>71.35309313656087</v>
      </c>
      <c r="AD279" s="10">
        <f>SUM('Model inputs'!AD280,'Model inputs'!AD281)</f>
        <v>74.54705501999342</v>
      </c>
      <c r="AE279" s="10">
        <f>SUM('Model inputs'!AE280,'Model inputs'!AE281)</f>
        <v>77.68282230956487</v>
      </c>
      <c r="AF279" s="10">
        <f>SUM('Model inputs'!AF280,'Model inputs'!AF281)</f>
        <v>80.76147362749532</v>
      </c>
      <c r="AG279" s="10">
        <f>SUM('Model inputs'!AG280,'Model inputs'!AG281)</f>
        <v>83.78406730260534</v>
      </c>
      <c r="AH279" s="10">
        <f>SUM('Model inputs'!AH280,'Model inputs'!AH281)</f>
        <v>86.75164175699825</v>
      </c>
      <c r="AI279" s="10">
        <f>SUM('Model inputs'!AI280,'Model inputs'!AI281)</f>
        <v>89.66521588529663</v>
      </c>
    </row>
    <row r="280" outlineLevel="1">
      <c r="A280" t="inlineStr" s="23">
        <is>
          <t xml:space="preserve">Opening stores &gt; Growing shop</t>
        </is>
      </c>
      <c r="C280" s="8">
        <f>'Model inputs'!C77</f>
        <v>0</v>
      </c>
      <c r="D280" s="8">
        <f>'Model inputs'!D77</f>
        <v>0</v>
      </c>
      <c r="E280" s="8">
        <f>'Model inputs'!E77</f>
        <v>0</v>
      </c>
      <c r="F280" s="8">
        <f>'Model inputs'!F77</f>
        <v>0</v>
      </c>
      <c r="G280" s="8">
        <f>'Model inputs'!G77</f>
        <v>0</v>
      </c>
      <c r="H280" s="8">
        <f>'Model inputs'!H77</f>
        <v>0</v>
      </c>
      <c r="I280" s="8">
        <f>'Model inputs'!I77</f>
        <v>0</v>
      </c>
      <c r="J280" s="8">
        <f>'Model inputs'!J77</f>
        <v>0</v>
      </c>
      <c r="K280" s="8">
        <f>'SwapDesk — Operations · Merchan'!B6</f>
        <v>0</v>
      </c>
      <c r="L280" s="8">
        <f>IF('Model inputs'!K200="","",'Model inputs'!K200)</f>
        <v>2</v>
      </c>
      <c r="M280" s="8">
        <f>IF('Model inputs'!L200="","",'Model inputs'!L200)</f>
        <v>3.47</v>
      </c>
      <c r="N280" s="8">
        <f>IF('Model inputs'!M200="","",'Model inputs'!M200)</f>
        <v>4.91795</v>
      </c>
      <c r="O280" s="8">
        <f>IF('Model inputs'!N200="","",'Model inputs'!N200)</f>
        <v>6.3441807500000005</v>
      </c>
      <c r="P280" s="8">
        <f>IF('Model inputs'!O200="","",'Model inputs'!O200)</f>
        <v>7.74901803875</v>
      </c>
      <c r="Q280" s="8">
        <f>IF('Model inputs'!P200="","",'Model inputs'!P200)</f>
        <v>9.13278276816875</v>
      </c>
      <c r="R280" s="8">
        <f>IF('Model inputs'!Q200="","",'Model inputs'!Q200)</f>
        <v>10.49579102664622</v>
      </c>
      <c r="S280" s="8">
        <f>IF('Model inputs'!R200="","",'Model inputs'!R200)</f>
        <v>11.838354161246526</v>
      </c>
      <c r="T280" s="8">
        <f>IF('Model inputs'!S200="","",'Model inputs'!S200)</f>
        <v>13.160778848827828</v>
      </c>
      <c r="U280" s="8">
        <f>IF('Model inputs'!T200="","",'Model inputs'!T200)</f>
        <v>14.463367166095411</v>
      </c>
      <c r="V280" s="8">
        <f>IF('Model inputs'!U200="","",'Model inputs'!U200)</f>
        <v>15.74641665860398</v>
      </c>
      <c r="W280" s="8">
        <f>IF('Model inputs'!V200="","",'Model inputs'!V200)</f>
        <v>17.01022040872492</v>
      </c>
      <c r="X280" s="8">
        <f>IF('Model inputs'!W200="","",'Model inputs'!W200)</f>
        <v>18.255067102594044</v>
      </c>
      <c r="Y280" s="8">
        <f>IF('Model inputs'!X200="","",'Model inputs'!X200)</f>
        <v>19.481241096055133</v>
      </c>
      <c r="Z280" s="8">
        <f>IF('Model inputs'!Y200="","",'Model inputs'!Y200)</f>
        <v>20.689022479614305</v>
      </c>
      <c r="AA280" s="8">
        <f>IF('Model inputs'!Z200="","",'Model inputs'!Z200)</f>
        <v>21.87868714242009</v>
      </c>
      <c r="AB280" s="8">
        <f>IF('Model inputs'!AA200="","",'Model inputs'!AA200)</f>
        <v>23.05050683528379</v>
      </c>
      <c r="AC280" s="8">
        <f>IF('Model inputs'!AB200="","",'Model inputs'!AB200)</f>
        <v>24.204749232754533</v>
      </c>
      <c r="AD280" s="8">
        <f>IF('Model inputs'!AC200="","",'Model inputs'!AC200)</f>
        <v>25.341677994263215</v>
      </c>
      <c r="AE280" s="8">
        <f>IF('Model inputs'!AD200="","",'Model inputs'!AD200)</f>
        <v>26.461552824349265</v>
      </c>
      <c r="AF280" s="8">
        <f>IF('Model inputs'!AE200="","",'Model inputs'!AE200)</f>
        <v>27.564629531984025</v>
      </c>
      <c r="AG280" s="8">
        <f>IF('Model inputs'!AF200="","",'Model inputs'!AF200)</f>
        <v>28.651160089004264</v>
      </c>
      <c r="AH280" s="8">
        <f>IF('Model inputs'!AG200="","",'Model inputs'!AG200)</f>
        <v>29.7213926876692</v>
      </c>
      <c r="AI280" s="8">
        <f>IF('Model inputs'!AH200="","",'Model inputs'!AH200)</f>
        <v>30.775571797354164</v>
      </c>
    </row>
    <row r="281" outlineLevel="1">
      <c r="A281" t="inlineStr" s="23">
        <is>
          <t xml:space="preserve">Opening stores &gt; Small shop</t>
        </is>
      </c>
      <c r="C281" s="8">
        <f>'Model inputs'!C78</f>
        <v>0</v>
      </c>
      <c r="D281" s="8">
        <f>'Model inputs'!D78</f>
        <v>0</v>
      </c>
      <c r="E281" s="8">
        <f>'Model inputs'!E78</f>
        <v>0</v>
      </c>
      <c r="F281" s="8">
        <f>'Model inputs'!F78</f>
        <v>0</v>
      </c>
      <c r="G281" s="8">
        <f>'Model inputs'!G78</f>
        <v>0</v>
      </c>
      <c r="H281" s="8">
        <f>'Model inputs'!H78</f>
        <v>0</v>
      </c>
      <c r="I281" s="8">
        <f>'Model inputs'!I78</f>
        <v>0</v>
      </c>
      <c r="J281" s="8">
        <f>'Model inputs'!J78</f>
        <v>0</v>
      </c>
      <c r="K281" s="8">
        <f>'SwapDesk — Operations · Merchan'!B7</f>
        <v>0</v>
      </c>
      <c r="L281" s="8">
        <f>IF('Model inputs'!K201="","",'Model inputs'!K201)</f>
        <v>5</v>
      </c>
      <c r="M281" s="8">
        <f>IF('Model inputs'!L201="","",'Model inputs'!L201)</f>
        <v>7.9</v>
      </c>
      <c r="N281" s="8">
        <f>IF('Model inputs'!M201="","",'Model inputs'!M201)</f>
        <v>10.742</v>
      </c>
      <c r="O281" s="8">
        <f>IF('Model inputs'!N201="","",'Model inputs'!N201)</f>
        <v>13.52716</v>
      </c>
      <c r="P281" s="8">
        <f>IF('Model inputs'!O201="","",'Model inputs'!O201)</f>
        <v>16.256616800000003</v>
      </c>
      <c r="Q281" s="8">
        <f>IF('Model inputs'!P201="","",'Model inputs'!P201)</f>
        <v>18.931484464000004</v>
      </c>
      <c r="R281" s="8">
        <f>IF('Model inputs'!Q201="","",'Model inputs'!Q201)</f>
        <v>21.552854774720004</v>
      </c>
      <c r="S281" s="8">
        <f>IF('Model inputs'!R201="","",'Model inputs'!R201)</f>
        <v>24.121797679225605</v>
      </c>
      <c r="T281" s="8">
        <f>IF('Model inputs'!S201="","",'Model inputs'!S201)</f>
        <v>26.63936172564109</v>
      </c>
      <c r="U281" s="8">
        <f>IF('Model inputs'!T201="","",'Model inputs'!T201)</f>
        <v>29.10657449112827</v>
      </c>
      <c r="V281" s="8">
        <f>IF('Model inputs'!U201="","",'Model inputs'!U201)</f>
        <v>31.524443001305706</v>
      </c>
      <c r="W281" s="8">
        <f>IF('Model inputs'!V201="","",'Model inputs'!V201)</f>
        <v>33.89395414127959</v>
      </c>
      <c r="X281" s="8">
        <f>IF('Model inputs'!W201="","",'Model inputs'!W201)</f>
        <v>36.216075058454</v>
      </c>
      <c r="Y281" s="8">
        <f>IF('Model inputs'!X201="","",'Model inputs'!X201)</f>
        <v>38.49175355728492</v>
      </c>
      <c r="Z281" s="8">
        <f>IF('Model inputs'!Y201="","",'Model inputs'!Y201)</f>
        <v>40.721918486139224</v>
      </c>
      <c r="AA281" s="8">
        <f>IF('Model inputs'!Z201="","",'Model inputs'!Z201)</f>
        <v>42.90748011641644</v>
      </c>
      <c r="AB281" s="8">
        <f>IF('Model inputs'!AA201="","",'Model inputs'!AA201)</f>
        <v>45.049330514088105</v>
      </c>
      <c r="AC281" s="8">
        <f>IF('Model inputs'!AB201="","",'Model inputs'!AB201)</f>
        <v>47.14834390380634</v>
      </c>
      <c r="AD281" s="8">
        <f>IF('Model inputs'!AC201="","",'Model inputs'!AC201)</f>
        <v>49.205377025730215</v>
      </c>
      <c r="AE281" s="8">
        <f>IF('Model inputs'!AD201="","",'Model inputs'!AD201)</f>
        <v>51.22126948521561</v>
      </c>
      <c r="AF281" s="8">
        <f>IF('Model inputs'!AE201="","",'Model inputs'!AE201)</f>
        <v>53.196844095511295</v>
      </c>
      <c r="AG281" s="8">
        <f>IF('Model inputs'!AF201="","",'Model inputs'!AF201)</f>
        <v>55.13290721360107</v>
      </c>
      <c r="AH281" s="8">
        <f>IF('Model inputs'!AG201="","",'Model inputs'!AG201)</f>
        <v>57.03024906932905</v>
      </c>
      <c r="AI281" s="8">
        <f>IF('Model inputs'!AH201="","",'Model inputs'!AH201)</f>
        <v>58.88964408794247</v>
      </c>
    </row>
    <row r="282">
      <c r="A282" t="inlineStr" s="22">
        <is>
          <t xml:space="preserve">Planned annual compensation</t>
        </is>
      </c>
      <c r="B282" s="10">
        <f>IF('Model inputs'!B312="","",'Model inputs'!B312)</f>
        <v>24000</v>
      </c>
    </row>
    <row r="283" outlineLevel="1">
      <c r="A283" t="inlineStr" s="23">
        <is>
          <t xml:space="preserve">Planned annual compensation &gt; Placeholder founder 1</t>
        </is>
      </c>
      <c r="B283" s="8">
        <f>IF('Model inputs'!B312="","",'Model inputs'!B312)</f>
        <v>24000</v>
      </c>
    </row>
    <row r="284">
      <c r="A284" t="inlineStr" s="22">
        <is>
          <t xml:space="preserve">Planned annual compensation</t>
        </is>
      </c>
      <c r="B284" s="10">
        <f>IF('Model inputs'!B313="","",'Model inputs'!B313)</f>
        <v>24000</v>
      </c>
    </row>
    <row r="285" outlineLevel="1">
      <c r="A285" t="inlineStr" s="23">
        <is>
          <t xml:space="preserve">Planned annual compensation &gt; Placeholder founder 1</t>
        </is>
      </c>
      <c r="B285" s="8">
        <f>IF('Model inputs'!B313="","",'Model inputs'!B313)</f>
        <v>24000</v>
      </c>
    </row>
    <row r="286">
      <c r="A286" t="inlineStr" s="22">
        <is>
          <t xml:space="preserve">Support minutes per store</t>
        </is>
      </c>
      <c r="B286" s="10">
        <v>0</v>
      </c>
    </row>
    <row r="287" outlineLevel="1">
      <c r="A287" t="inlineStr" s="23">
        <is>
          <t xml:space="preserve">Support minutes per store &gt; Growing shop</t>
        </is>
      </c>
      <c r="B287" s="8">
        <f>60</f>
        <v>60</v>
      </c>
    </row>
    <row r="288" outlineLevel="1">
      <c r="A288" t="inlineStr" s="23">
        <is>
          <t xml:space="preserve">Support minutes per store &gt; Small shop</t>
        </is>
      </c>
      <c r="B288" s="8">
        <f>30</f>
        <v>30</v>
      </c>
    </row>
    <row r="289">
      <c r="A289" t="inlineStr" s="22">
        <is>
          <t xml:space="preserve">Support minutes per store</t>
        </is>
      </c>
      <c r="B289" s="10">
        <v>0</v>
      </c>
    </row>
    <row r="290" outlineLevel="1">
      <c r="A290" t="inlineStr" s="23">
        <is>
          <t xml:space="preserve">Support minutes per store &gt; Growing shop</t>
        </is>
      </c>
      <c r="B290" s="8">
        <f>'SwapDesk — Assumptions · Mercha'!G5</f>
        <v>30</v>
      </c>
    </row>
    <row r="291" outlineLevel="1">
      <c r="A291" t="inlineStr" s="23">
        <is>
          <t xml:space="preserve">Support minutes per store &gt; Small shop</t>
        </is>
      </c>
      <c r="B291" s="8">
        <f>'SwapDesk — Assumptions · Mercha'!G6</f>
        <v>15</v>
      </c>
    </row>
    <row r="292">
      <c r="A292" t="inlineStr" s="22">
        <is>
          <t xml:space="preserve">Technical support hourly cost · Merchant support cost · Bad Reliability · Bad Reliability</t>
        </is>
      </c>
      <c r="B292" s="9">
        <f>'SwapDesk — Assumptions · Commer'!B9</f>
        <v>25</v>
      </c>
    </row>
    <row r="293">
      <c r="A293" t="inlineStr" s="22">
        <is>
          <t xml:space="preserve">Technical support hourly cost · Merchant support cost · Growth · Growth</t>
        </is>
      </c>
      <c r="B293" s="9">
        <f>'SwapDesk — Assumptions · Commer'!B9</f>
        <v>25</v>
      </c>
    </row>
    <row r="294">
      <c r="A294" t="inlineStr" s="22">
        <is>
          <t xml:space="preserve">Total executions</t>
        </is>
      </c>
      <c r="C294" s="10">
        <f>SUM('Model inputs'!C295,'Model inputs'!C296)</f>
        <v>0</v>
      </c>
      <c r="D294" s="10">
        <f>SUM('Model inputs'!D295,'Model inputs'!D296)</f>
        <v>0</v>
      </c>
      <c r="E294" s="10">
        <f>SUM('Model inputs'!E295,'Model inputs'!E296)</f>
        <v>0</v>
      </c>
      <c r="F294" s="10">
        <f>SUM('Model inputs'!F295,'Model inputs'!F296)</f>
        <v>0</v>
      </c>
      <c r="G294" s="10">
        <f>SUM('Model inputs'!G295,'Model inputs'!G296)</f>
        <v>0</v>
      </c>
      <c r="H294" s="10">
        <f>SUM('Model inputs'!H295,'Model inputs'!H296)</f>
        <v>0</v>
      </c>
      <c r="I294" s="10">
        <f>SUM('Model inputs'!I295,'Model inputs'!I296)</f>
        <v>0</v>
      </c>
      <c r="J294" s="10">
        <f>SUM('Model inputs'!J295,'Model inputs'!J296)</f>
        <v>0</v>
      </c>
      <c r="K294" s="10">
        <f>SUM('Model inputs'!K295,'Model inputs'!K296)</f>
        <v>0</v>
      </c>
      <c r="L294" s="10">
        <f>SUM('Model inputs'!L295,'Model inputs'!L296)</f>
        <v>2630.4</v>
      </c>
      <c r="M294" s="10">
        <f>SUM('Model inputs'!M295,'Model inputs'!M296)</f>
        <v>2999.9359999999997</v>
      </c>
      <c r="N294" s="10">
        <f>SUM('Model inputs'!N295,'Model inputs'!N296)</f>
        <v>3349.7318400000004</v>
      </c>
      <c r="O294" s="10">
        <f>SUM('Model inputs'!O295,'Model inputs'!O296)</f>
        <v>3680.8503296000004</v>
      </c>
      <c r="P294" s="10">
        <f>SUM('Model inputs'!P295,'Model inputs'!P296)</f>
        <v>3994.2965898240004</v>
      </c>
      <c r="Q294" s="10">
        <f>SUM('Model inputs'!Q295,'Model inputs'!Q296)</f>
        <v>4291.02121043456</v>
      </c>
      <c r="R294" s="10">
        <f>SUM('Model inputs'!R295,'Model inputs'!R296)</f>
        <v>4571.923233008485</v>
      </c>
      <c r="S294" s="10">
        <f>SUM('Model inputs'!S295,'Model inputs'!S296)</f>
        <v>4837.852969467976</v>
      </c>
      <c r="T294" s="10">
        <f>SUM('Model inputs'!T295,'Model inputs'!T296)</f>
        <v>5089.614665217898</v>
      </c>
      <c r="U294" s="10">
        <f>SUM('Model inputs'!U295,'Model inputs'!U296)</f>
        <v>5327.969015526925</v>
      </c>
      <c r="V294" s="10">
        <f>SUM('Model inputs'!V295,'Model inputs'!V296)</f>
        <v>5553.635543306304</v>
      </c>
      <c r="W294" s="10">
        <f>SUM('Model inputs'!W295,'Model inputs'!W296)</f>
        <v>5767.294845983371</v>
      </c>
      <c r="X294" s="10">
        <f>SUM('Model inputs'!X295,'Model inputs'!X296)</f>
        <v>5969.590718736042</v>
      </c>
      <c r="Y294" s="10">
        <f>SUM('Model inputs'!Y295,'Model inputs'!Y296)</f>
        <v>6161.132160947968</v>
      </c>
      <c r="Z294" s="10">
        <f>SUM('Model inputs'!Z295,'Model inputs'!Z296)</f>
        <v>6342.495272360376</v>
      </c>
      <c r="AA294" s="10">
        <f>SUM('Model inputs'!AA295,'Model inputs'!AA296)</f>
        <v>6514.225045034575</v>
      </c>
      <c r="AB294" s="10">
        <f>SUM('Model inputs'!AB295,'Model inputs'!AB296)</f>
        <v>6676.83705689753</v>
      </c>
      <c r="AC294" s="10">
        <f>SUM('Model inputs'!AC295,'Model inputs'!AC296)</f>
        <v>6830.819072320455</v>
      </c>
      <c r="AD294" s="10">
        <f>SUM('Model inputs'!AD295,'Model inputs'!AD296)</f>
        <v>6976.632554876167</v>
      </c>
      <c r="AE294" s="10">
        <f>SUM('Model inputs'!AE295,'Model inputs'!AE296)</f>
        <v>7114.7140971337885</v>
      </c>
      <c r="AF294" s="10">
        <f>SUM('Model inputs'!AF295,'Model inputs'!AF296)</f>
        <v>7245.476772078445</v>
      </c>
      <c r="AG294" s="10">
        <f>SUM('Model inputs'!AG295,'Model inputs'!AG296)</f>
        <v>7369.311410487787</v>
      </c>
      <c r="AH294" s="10">
        <f>SUM('Model inputs'!AH295,'Model inputs'!AH296)</f>
        <v>7486.5878083558655</v>
      </c>
      <c r="AI294" s="10">
        <f>SUM('Model inputs'!AI295,'Model inputs'!AI296)</f>
        <v>7597.655868226993</v>
      </c>
    </row>
    <row r="295" outlineLevel="1">
      <c r="A295" t="inlineStr" s="23">
        <is>
          <t xml:space="preserve">Total executions &gt; Growing shop</t>
        </is>
      </c>
      <c r="C295" s="8">
        <f>'Model inputs'!C182</f>
        <v>0</v>
      </c>
      <c r="D295" s="8">
        <f>'Model inputs'!D182</f>
        <v>0</v>
      </c>
      <c r="E295" s="8">
        <f>'Model inputs'!E182</f>
        <v>0</v>
      </c>
      <c r="F295" s="8">
        <f>'Model inputs'!F182</f>
        <v>0</v>
      </c>
      <c r="G295" s="8">
        <f>'Model inputs'!G182</f>
        <v>0</v>
      </c>
      <c r="H295" s="8">
        <f>'Model inputs'!H182</f>
        <v>0</v>
      </c>
      <c r="I295" s="8">
        <f>'Model inputs'!I182</f>
        <v>0</v>
      </c>
      <c r="J295" s="8">
        <f>'Model inputs'!J182</f>
        <v>0</v>
      </c>
      <c r="K295" s="8">
        <f>'SwapDesk — Operations · Merchan'!B30</f>
        <v>0</v>
      </c>
      <c r="L295" s="8">
        <f>'Model inputs'!L301+'Model inputs'!L307</f>
        <v>1536</v>
      </c>
      <c r="M295" s="8">
        <f>'Model inputs'!M301+'Model inputs'!M307</f>
        <v>1779.1999999999998</v>
      </c>
      <c r="N295" s="8">
        <f>'Model inputs'!N301+'Model inputs'!N307</f>
        <v>2010.2400000000002</v>
      </c>
      <c r="O295" s="8">
        <f>'Model inputs'!O301+'Model inputs'!O307</f>
        <v>2229.728</v>
      </c>
      <c r="P295" s="8">
        <f>'Model inputs'!P301+'Model inputs'!P307</f>
        <v>2438.2416000000003</v>
      </c>
      <c r="Q295" s="8">
        <f>'Model inputs'!Q301+'Model inputs'!Q307</f>
        <v>2636.3295200000002</v>
      </c>
      <c r="R295" s="8">
        <f>'Model inputs'!R301+'Model inputs'!R307</f>
        <v>2824.5130439999994</v>
      </c>
      <c r="S295" s="8">
        <f>'Model inputs'!S301+'Model inputs'!S307</f>
        <v>3003.2873917999996</v>
      </c>
      <c r="T295" s="8">
        <f>'Model inputs'!T301+'Model inputs'!T307</f>
        <v>3173.12302221</v>
      </c>
      <c r="U295" s="8">
        <f>'Model inputs'!U301+'Model inputs'!U307</f>
        <v>3334.4668710995</v>
      </c>
      <c r="V295" s="8">
        <f>'Model inputs'!V301+'Model inputs'!V307</f>
        <v>3487.743527544525</v>
      </c>
      <c r="W295" s="8">
        <f>'Model inputs'!W301+'Model inputs'!W307</f>
        <v>3633.3563511672983</v>
      </c>
      <c r="X295" s="8">
        <f>'Model inputs'!X301+'Model inputs'!X307</f>
        <v>3771.6885336089335</v>
      </c>
      <c r="Y295" s="8">
        <f>'Model inputs'!Y301+'Model inputs'!Y307</f>
        <v>3903.1041069284865</v>
      </c>
      <c r="Z295" s="8">
        <f>'Model inputs'!Z301+'Model inputs'!Z307</f>
        <v>4027.9489015820627</v>
      </c>
      <c r="AA295" s="8">
        <f>'Model inputs'!AA301+'Model inputs'!AA307</f>
        <v>4146.55145650296</v>
      </c>
      <c r="AB295" s="8">
        <f>'Model inputs'!AB301+'Model inputs'!AB307</f>
        <v>4259.2238836778115</v>
      </c>
      <c r="AC295" s="8">
        <f>'Model inputs'!AC301+'Model inputs'!AC307</f>
        <v>4366.26268949392</v>
      </c>
      <c r="AD295" s="8">
        <f>'Model inputs'!AD301+'Model inputs'!AD307</f>
        <v>4467.949555019224</v>
      </c>
      <c r="AE295" s="8">
        <f>'Model inputs'!AE301+'Model inputs'!AE307</f>
        <v>4564.552077268263</v>
      </c>
      <c r="AF295" s="8">
        <f>'Model inputs'!AF301+'Model inputs'!AF307</f>
        <v>4656.32447340485</v>
      </c>
      <c r="AG295" s="8">
        <f>'Model inputs'!AG301+'Model inputs'!AG307</f>
        <v>4743.508249734608</v>
      </c>
      <c r="AH295" s="8">
        <f>'Model inputs'!AH301+'Model inputs'!AH307</f>
        <v>4826.332837247877</v>
      </c>
      <c r="AI295" s="8">
        <f>'Model inputs'!AI301+'Model inputs'!AI307</f>
        <v>4905.016195385484</v>
      </c>
    </row>
    <row r="296" outlineLevel="1">
      <c r="A296" t="inlineStr" s="23">
        <is>
          <t xml:space="preserve">Total executions &gt; Small shop</t>
        </is>
      </c>
      <c r="C296" s="8">
        <f>'Model inputs'!C183</f>
        <v>0</v>
      </c>
      <c r="D296" s="8">
        <f>'Model inputs'!D183</f>
        <v>0</v>
      </c>
      <c r="E296" s="8">
        <f>'Model inputs'!E183</f>
        <v>0</v>
      </c>
      <c r="F296" s="8">
        <f>'Model inputs'!F183</f>
        <v>0</v>
      </c>
      <c r="G296" s="8">
        <f>'Model inputs'!G183</f>
        <v>0</v>
      </c>
      <c r="H296" s="8">
        <f>'Model inputs'!H183</f>
        <v>0</v>
      </c>
      <c r="I296" s="8">
        <f>'Model inputs'!I183</f>
        <v>0</v>
      </c>
      <c r="J296" s="8">
        <f>'Model inputs'!J183</f>
        <v>0</v>
      </c>
      <c r="K296" s="8">
        <f>'SwapDesk — Operations · Merchan'!B31</f>
        <v>0</v>
      </c>
      <c r="L296" s="8">
        <f>'Model inputs'!L302+'Model inputs'!L308</f>
        <v>1094.4</v>
      </c>
      <c r="M296" s="8">
        <f>'Model inputs'!M302+'Model inputs'!M308</f>
        <v>1220.736</v>
      </c>
      <c r="N296" s="8">
        <f>'Model inputs'!N302+'Model inputs'!N308</f>
        <v>1339.4918400000001</v>
      </c>
      <c r="O296" s="8">
        <f>'Model inputs'!O302+'Model inputs'!O308</f>
        <v>1451.1223296000003</v>
      </c>
      <c r="P296" s="8">
        <f>'Model inputs'!P302+'Model inputs'!P308</f>
        <v>1556.0549898240001</v>
      </c>
      <c r="Q296" s="8">
        <f>'Model inputs'!Q302+'Model inputs'!Q308</f>
        <v>1654.6916904345599</v>
      </c>
      <c r="R296" s="8">
        <f>'Model inputs'!R302+'Model inputs'!R308</f>
        <v>1747.4101890084862</v>
      </c>
      <c r="S296" s="8">
        <f>'Model inputs'!S302+'Model inputs'!S308</f>
        <v>1834.5655776679769</v>
      </c>
      <c r="T296" s="8">
        <f>'Model inputs'!T302+'Model inputs'!T308</f>
        <v>1916.4916430078983</v>
      </c>
      <c r="U296" s="8">
        <f>'Model inputs'!U302+'Model inputs'!U308</f>
        <v>1993.5021444274248</v>
      </c>
      <c r="V296" s="8">
        <f>'Model inputs'!V302+'Model inputs'!V308</f>
        <v>2065.892015761779</v>
      </c>
      <c r="W296" s="8">
        <f>'Model inputs'!W302+'Model inputs'!W308</f>
        <v>2133.9384948160723</v>
      </c>
      <c r="X296" s="8">
        <f>'Model inputs'!X302+'Model inputs'!X308</f>
        <v>2197.902185127108</v>
      </c>
      <c r="Y296" s="8">
        <f>'Model inputs'!Y302+'Model inputs'!Y308</f>
        <v>2258.0280540194817</v>
      </c>
      <c r="Z296" s="8">
        <f>'Model inputs'!Z302+'Model inputs'!Z308</f>
        <v>2314.546370778313</v>
      </c>
      <c r="AA296" s="8">
        <f>'Model inputs'!AA302+'Model inputs'!AA308</f>
        <v>2367.6735885316143</v>
      </c>
      <c r="AB296" s="8">
        <f>'Model inputs'!AB302+'Model inputs'!AB308</f>
        <v>2417.6131732197177</v>
      </c>
      <c r="AC296" s="8">
        <f>'Model inputs'!AC302+'Model inputs'!AC308</f>
        <v>2464.5563828265344</v>
      </c>
      <c r="AD296" s="8">
        <f>'Model inputs'!AD302+'Model inputs'!AD308</f>
        <v>2508.6829998569424</v>
      </c>
      <c r="AE296" s="8">
        <f>'Model inputs'!AE302+'Model inputs'!AE308</f>
        <v>2550.162019865526</v>
      </c>
      <c r="AF296" s="8">
        <f>'Model inputs'!AF302+'Model inputs'!AF308</f>
        <v>2589.1522986735945</v>
      </c>
      <c r="AG296" s="8">
        <f>'Model inputs'!AG302+'Model inputs'!AG308</f>
        <v>2625.8031607531784</v>
      </c>
      <c r="AH296" s="8">
        <f>'Model inputs'!AH302+'Model inputs'!AH308</f>
        <v>2660.254971107988</v>
      </c>
      <c r="AI296" s="8">
        <f>'Model inputs'!AI302+'Model inputs'!AI308</f>
        <v>2692.639672841509</v>
      </c>
    </row>
    <row r="297">
      <c r="A297" t="inlineStr" s="22">
        <is>
          <t xml:space="preserve">Total executions</t>
        </is>
      </c>
      <c r="C297" s="10">
        <f>SUM('Model inputs'!C298,'Model inputs'!C299)</f>
        <v>0</v>
      </c>
      <c r="D297" s="10">
        <f>SUM('Model inputs'!D298,'Model inputs'!D299)</f>
        <v>0</v>
      </c>
      <c r="E297" s="10">
        <f>SUM('Model inputs'!E298,'Model inputs'!E299)</f>
        <v>0</v>
      </c>
      <c r="F297" s="10">
        <f>SUM('Model inputs'!F298,'Model inputs'!F299)</f>
        <v>0</v>
      </c>
      <c r="G297" s="10">
        <f>SUM('Model inputs'!G298,'Model inputs'!G299)</f>
        <v>0</v>
      </c>
      <c r="H297" s="10">
        <f>SUM('Model inputs'!H298,'Model inputs'!H299)</f>
        <v>0</v>
      </c>
      <c r="I297" s="10">
        <f>SUM('Model inputs'!I298,'Model inputs'!I299)</f>
        <v>0</v>
      </c>
      <c r="J297" s="10">
        <f>SUM('Model inputs'!J298,'Model inputs'!J299)</f>
        <v>0</v>
      </c>
      <c r="K297" s="10">
        <f>SUM('Model inputs'!K298,'Model inputs'!K299)</f>
        <v>0</v>
      </c>
      <c r="L297" s="10">
        <f>SUM('Model inputs'!L298,'Model inputs'!L299)</f>
        <v>2569.6</v>
      </c>
      <c r="M297" s="10">
        <f>SUM('Model inputs'!M298,'Model inputs'!M299)</f>
        <v>3581.8420000000006</v>
      </c>
      <c r="N297" s="10">
        <f>SUM('Model inputs'!N298,'Model inputs'!N299)</f>
        <v>4577.02465</v>
      </c>
      <c r="O297" s="10">
        <f>SUM('Model inputs'!O298,'Model inputs'!O299)</f>
        <v>5555.44135465</v>
      </c>
      <c r="P297" s="10">
        <f>SUM('Model inputs'!P298,'Model inputs'!P299)</f>
        <v>6517.380367242251</v>
      </c>
      <c r="Q297" s="10">
        <f>SUM('Model inputs'!Q298,'Model inputs'!Q299)</f>
        <v>7463.124881987378</v>
      </c>
      <c r="R297" s="10">
        <f>SUM('Model inputs'!R298,'Model inputs'!R299)</f>
        <v>8392.95312460625</v>
      </c>
      <c r="S297" s="10">
        <f>SUM('Model inputs'!S298,'Model inputs'!S299)</f>
        <v>9307.138441268868</v>
      </c>
      <c r="T297" s="10">
        <f>SUM('Model inputs'!T298,'Model inputs'!T299)</f>
        <v>10205.949385910913</v>
      </c>
      <c r="U297" s="10">
        <f>SUM('Model inputs'!U298,'Model inputs'!U299)</f>
        <v>11089.649805958104</v>
      </c>
      <c r="V297" s="10">
        <f>SUM('Model inputs'!V298,'Model inputs'!V299)</f>
        <v>11958.498926487871</v>
      </c>
      <c r="W297" s="10">
        <f>SUM('Model inputs'!W298,'Model inputs'!W299)</f>
        <v>12812.751432857309</v>
      </c>
      <c r="X297" s="10">
        <f>SUM('Model inputs'!X298,'Model inputs'!X299)</f>
        <v>13652.657551825869</v>
      </c>
      <c r="Y297" s="10">
        <f>SUM('Model inputs'!Y298,'Model inputs'!Y299)</f>
        <v>14478.463131200671</v>
      </c>
      <c r="Z297" s="10">
        <f>SUM('Model inputs'!Z298,'Model inputs'!Z299)</f>
        <v>15290.40971803181</v>
      </c>
      <c r="AA297" s="10">
        <f>SUM('Model inputs'!AA298,'Model inputs'!AA299)</f>
        <v>16088.734635384499</v>
      </c>
      <c r="AB297" s="10">
        <f>SUM('Model inputs'!AB298,'Model inputs'!AB299)</f>
        <v>16873.671057714433</v>
      </c>
      <c r="AC297" s="10">
        <f>SUM('Model inputs'!AC298,'Model inputs'!AC299)</f>
        <v>17645.4480848722</v>
      </c>
      <c r="AD297" s="10">
        <f>SUM('Model inputs'!AD298,'Model inputs'!AD299)</f>
        <v>18404.290814762135</v>
      </c>
      <c r="AE297" s="10">
        <f>SUM('Model inputs'!AE298,'Model inputs'!AE299)</f>
        <v>19150.420414680462</v>
      </c>
      <c r="AF297" s="10">
        <f>SUM('Model inputs'!AF298,'Model inputs'!AF299)</f>
        <v>19884.054191357216</v>
      </c>
      <c r="AG297" s="10">
        <f>SUM('Model inputs'!AG298,'Model inputs'!AG299)</f>
        <v>20605.405659725882</v>
      </c>
      <c r="AH297" s="10">
        <f>SUM('Model inputs'!AH298,'Model inputs'!AH299)</f>
        <v>21314.684610444237</v>
      </c>
      <c r="AI297" s="10">
        <f>SUM('Model inputs'!AI298,'Model inputs'!AI299)</f>
        <v>22012.09717618953</v>
      </c>
    </row>
    <row r="298" outlineLevel="1">
      <c r="A298" t="inlineStr" s="23">
        <is>
          <t xml:space="preserve">Total executions &gt; Growing shop</t>
        </is>
      </c>
      <c r="C298" s="8">
        <f>'Model inputs'!C182</f>
        <v>0</v>
      </c>
      <c r="D298" s="8">
        <f>'Model inputs'!D182</f>
        <v>0</v>
      </c>
      <c r="E298" s="8">
        <f>'Model inputs'!E182</f>
        <v>0</v>
      </c>
      <c r="F298" s="8">
        <f>'Model inputs'!F182</f>
        <v>0</v>
      </c>
      <c r="G298" s="8">
        <f>'Model inputs'!G182</f>
        <v>0</v>
      </c>
      <c r="H298" s="8">
        <f>'Model inputs'!H182</f>
        <v>0</v>
      </c>
      <c r="I298" s="8">
        <f>'Model inputs'!I182</f>
        <v>0</v>
      </c>
      <c r="J298" s="8">
        <f>'Model inputs'!J182</f>
        <v>0</v>
      </c>
      <c r="K298" s="8">
        <f>'SwapDesk — Operations · Merchan'!B30</f>
        <v>0</v>
      </c>
      <c r="L298" s="8">
        <f>'Model inputs'!L304+'Model inputs'!L310</f>
        <v>1526.8</v>
      </c>
      <c r="M298" s="8">
        <f>'Model inputs'!M304+'Model inputs'!M310</f>
        <v>2163.898</v>
      </c>
      <c r="N298" s="8">
        <f>'Model inputs'!N304+'Model inputs'!N310</f>
        <v>2791.43953</v>
      </c>
      <c r="O298" s="8">
        <f>'Model inputs'!O304+'Model inputs'!O310</f>
        <v>3409.56793705</v>
      </c>
      <c r="P298" s="8">
        <f>'Model inputs'!P304+'Model inputs'!P310</f>
        <v>4018.4244179942502</v>
      </c>
      <c r="Q298" s="8">
        <f>'Model inputs'!Q304+'Model inputs'!Q310</f>
        <v>4618.148051724337</v>
      </c>
      <c r="R298" s="8">
        <f>'Model inputs'!R304+'Model inputs'!R310</f>
        <v>5208.875830948471</v>
      </c>
      <c r="S298" s="8">
        <f>'Model inputs'!S304+'Model inputs'!S310</f>
        <v>5790.742693484244</v>
      </c>
      <c r="T298" s="8">
        <f>'Model inputs'!T304+'Model inputs'!T310</f>
        <v>6363.881553081981</v>
      </c>
      <c r="U298" s="8">
        <f>'Model inputs'!U304+'Model inputs'!U310</f>
        <v>6928.423329785752</v>
      </c>
      <c r="V298" s="8">
        <f>'Model inputs'!V304+'Model inputs'!V310</f>
        <v>7484.496979838965</v>
      </c>
      <c r="W298" s="8">
        <f>'Model inputs'!W304+'Model inputs'!W310</f>
        <v>8032.22952514138</v>
      </c>
      <c r="X298" s="8">
        <f>'Model inputs'!X304+'Model inputs'!X310</f>
        <v>8571.746082264259</v>
      </c>
      <c r="Y298" s="8">
        <f>'Model inputs'!Y304+'Model inputs'!Y310</f>
        <v>9103.169891030295</v>
      </c>
      <c r="Z298" s="8">
        <f>'Model inputs'!Z304+'Model inputs'!Z310</f>
        <v>9626.62234266484</v>
      </c>
      <c r="AA298" s="8">
        <f>'Model inputs'!AA304+'Model inputs'!AA310</f>
        <v>10142.223007524868</v>
      </c>
      <c r="AB298" s="8">
        <f>'Model inputs'!AB304+'Model inputs'!AB310</f>
        <v>10650.089662411996</v>
      </c>
      <c r="AC298" s="8">
        <f>'Model inputs'!AC304+'Model inputs'!AC310</f>
        <v>11150.338317475815</v>
      </c>
      <c r="AD298" s="8">
        <f>'Model inputs'!AD304+'Model inputs'!AD310</f>
        <v>11643.083242713676</v>
      </c>
      <c r="AE298" s="8">
        <f>'Model inputs'!AE304+'Model inputs'!AE310</f>
        <v>12128.43699407297</v>
      </c>
      <c r="AF298" s="8">
        <f>'Model inputs'!AF304+'Model inputs'!AF310</f>
        <v>12606.510439161877</v>
      </c>
      <c r="AG298" s="8">
        <f>'Model inputs'!AG304+'Model inputs'!AG310</f>
        <v>13077.412782574447</v>
      </c>
      <c r="AH298" s="8">
        <f>'Model inputs'!AH304+'Model inputs'!AH310</f>
        <v>13541.251590835833</v>
      </c>
      <c r="AI298" s="8">
        <f>'Model inputs'!AI304+'Model inputs'!AI310</f>
        <v>13998.132816973293</v>
      </c>
    </row>
    <row r="299" outlineLevel="1">
      <c r="A299" t="inlineStr" s="23">
        <is>
          <t xml:space="preserve">Total executions &gt; Small shop</t>
        </is>
      </c>
      <c r="C299" s="8">
        <f>'Model inputs'!C183</f>
        <v>0</v>
      </c>
      <c r="D299" s="8">
        <f>'Model inputs'!D183</f>
        <v>0</v>
      </c>
      <c r="E299" s="8">
        <f>'Model inputs'!E183</f>
        <v>0</v>
      </c>
      <c r="F299" s="8">
        <f>'Model inputs'!F183</f>
        <v>0</v>
      </c>
      <c r="G299" s="8">
        <f>'Model inputs'!G183</f>
        <v>0</v>
      </c>
      <c r="H299" s="8">
        <f>'Model inputs'!H183</f>
        <v>0</v>
      </c>
      <c r="I299" s="8">
        <f>'Model inputs'!I183</f>
        <v>0</v>
      </c>
      <c r="J299" s="8">
        <f>'Model inputs'!J183</f>
        <v>0</v>
      </c>
      <c r="K299" s="8">
        <f>'SwapDesk — Operations · Merchan'!B31</f>
        <v>0</v>
      </c>
      <c r="L299" s="8">
        <f>'Model inputs'!L305+'Model inputs'!L311</f>
        <v>1042.8</v>
      </c>
      <c r="M299" s="8">
        <f>'Model inputs'!M305+'Model inputs'!M311</f>
        <v>1417.9440000000002</v>
      </c>
      <c r="N299" s="8">
        <f>'Model inputs'!N305+'Model inputs'!N311</f>
        <v>1785.58512</v>
      </c>
      <c r="O299" s="8">
        <f>'Model inputs'!O305+'Model inputs'!O311</f>
        <v>2145.8734176000003</v>
      </c>
      <c r="P299" s="8">
        <f>'Model inputs'!P305+'Model inputs'!P311</f>
        <v>2498.9559492480007</v>
      </c>
      <c r="Q299" s="8">
        <f>'Model inputs'!Q305+'Model inputs'!Q311</f>
        <v>2844.9768302630405</v>
      </c>
      <c r="R299" s="8">
        <f>'Model inputs'!R305+'Model inputs'!R311</f>
        <v>3184.0772936577796</v>
      </c>
      <c r="S299" s="8">
        <f>'Model inputs'!S305+'Model inputs'!S311</f>
        <v>3516.3957477846243</v>
      </c>
      <c r="T299" s="8">
        <f>'Model inputs'!T305+'Model inputs'!T311</f>
        <v>3842.0678328289314</v>
      </c>
      <c r="U299" s="8">
        <f>'Model inputs'!U305+'Model inputs'!U311</f>
        <v>4161.226476172353</v>
      </c>
      <c r="V299" s="8">
        <f>'Model inputs'!V305+'Model inputs'!V311</f>
        <v>4474.001946648907</v>
      </c>
      <c r="W299" s="8">
        <f>'Model inputs'!W305+'Model inputs'!W311</f>
        <v>4780.521907715929</v>
      </c>
      <c r="X299" s="8">
        <f>'Model inputs'!X305+'Model inputs'!X311</f>
        <v>5080.91146956161</v>
      </c>
      <c r="Y299" s="8">
        <f>'Model inputs'!Y305+'Model inputs'!Y311</f>
        <v>5375.293240170377</v>
      </c>
      <c r="Z299" s="8">
        <f>'Model inputs'!Z305+'Model inputs'!Z311</f>
        <v>5663.78737536697</v>
      </c>
      <c r="AA299" s="8">
        <f>'Model inputs'!AA305+'Model inputs'!AA311</f>
        <v>5946.511627859631</v>
      </c>
      <c r="AB299" s="8">
        <f>'Model inputs'!AB305+'Model inputs'!AB311</f>
        <v>6223.581395302437</v>
      </c>
      <c r="AC299" s="8">
        <f>'Model inputs'!AC305+'Model inputs'!AC311</f>
        <v>6495.109767396389</v>
      </c>
      <c r="AD299" s="8">
        <f>'Model inputs'!AD305+'Model inputs'!AD311</f>
        <v>6761.20757204846</v>
      </c>
      <c r="AE299" s="8">
        <f>'Model inputs'!AE305+'Model inputs'!AE311</f>
        <v>7021.983420607491</v>
      </c>
      <c r="AF299" s="8">
        <f>'Model inputs'!AF305+'Model inputs'!AF311</f>
        <v>7277.543752195341</v>
      </c>
      <c r="AG299" s="8">
        <f>'Model inputs'!AG305+'Model inputs'!AG311</f>
        <v>7527.992877151434</v>
      </c>
      <c r="AH299" s="8">
        <f>'Model inputs'!AH305+'Model inputs'!AH311</f>
        <v>7773.4330196084065</v>
      </c>
      <c r="AI299" s="8">
        <f>'Model inputs'!AI305+'Model inputs'!AI311</f>
        <v>8013.964359216238</v>
      </c>
    </row>
    <row r="300">
      <c r="A300" t="inlineStr" s="22">
        <is>
          <t xml:space="preserve">Attempted cases</t>
        </is>
      </c>
      <c r="C300" s="10">
        <f>SUM('Model inputs'!C301,'Model inputs'!C302)</f>
        <v>0</v>
      </c>
      <c r="D300" s="10">
        <f>SUM('Model inputs'!D301,'Model inputs'!D302)</f>
        <v>0</v>
      </c>
      <c r="E300" s="10">
        <f>SUM('Model inputs'!E301,'Model inputs'!E302)</f>
        <v>0</v>
      </c>
      <c r="F300" s="10">
        <f>SUM('Model inputs'!F301,'Model inputs'!F302)</f>
        <v>0</v>
      </c>
      <c r="G300" s="10">
        <f>SUM('Model inputs'!G301,'Model inputs'!G302)</f>
        <v>0</v>
      </c>
      <c r="H300" s="10">
        <f>SUM('Model inputs'!H301,'Model inputs'!H302)</f>
        <v>0</v>
      </c>
      <c r="I300" s="10">
        <f>SUM('Model inputs'!I301,'Model inputs'!I302)</f>
        <v>0</v>
      </c>
      <c r="J300" s="10">
        <f>SUM('Model inputs'!J301,'Model inputs'!J302)</f>
        <v>0</v>
      </c>
      <c r="K300" s="10">
        <f>SUM('Model inputs'!K301,'Model inputs'!K302)</f>
        <v>0</v>
      </c>
      <c r="L300" s="10">
        <f>SUM('Model inputs'!L301,'Model inputs'!L302)</f>
        <v>1644</v>
      </c>
      <c r="M300" s="10">
        <f>SUM('Model inputs'!M301,'Model inputs'!M302)</f>
        <v>1874.96</v>
      </c>
      <c r="N300" s="10">
        <f>SUM('Model inputs'!N301,'Model inputs'!N302)</f>
        <v>2093.5824000000002</v>
      </c>
      <c r="O300" s="10">
        <f>SUM('Model inputs'!O301,'Model inputs'!O302)</f>
        <v>2300.531456</v>
      </c>
      <c r="P300" s="10">
        <f>SUM('Model inputs'!P301,'Model inputs'!P302)</f>
        <v>2496.43536864</v>
      </c>
      <c r="Q300" s="10">
        <f>SUM('Model inputs'!Q301,'Model inputs'!Q302)</f>
        <v>2681.8882565216</v>
      </c>
      <c r="R300" s="10">
        <f>SUM('Model inputs'!R301,'Model inputs'!R302)</f>
        <v>2857.4520206303037</v>
      </c>
      <c r="S300" s="10">
        <f>SUM('Model inputs'!S301,'Model inputs'!S302)</f>
        <v>3023.6581059174855</v>
      </c>
      <c r="T300" s="10">
        <f>SUM('Model inputs'!T301,'Model inputs'!T302)</f>
        <v>3181.0091657611865</v>
      </c>
      <c r="U300" s="10">
        <f>SUM('Model inputs'!U301,'Model inputs'!U302)</f>
        <v>3329.9806347043277</v>
      </c>
      <c r="V300" s="10">
        <f>SUM('Model inputs'!V301,'Model inputs'!V302)</f>
        <v>3471.02221456644</v>
      </c>
      <c r="W300" s="10">
        <f>SUM('Model inputs'!W301,'Model inputs'!W302)</f>
        <v>3604.5592787396067</v>
      </c>
      <c r="X300" s="10">
        <f>SUM('Model inputs'!X301,'Model inputs'!X302)</f>
        <v>3730.9941992100257</v>
      </c>
      <c r="Y300" s="10">
        <f>SUM('Model inputs'!Y301,'Model inputs'!Y302)</f>
        <v>3850.70760059248</v>
      </c>
      <c r="Z300" s="10">
        <f>SUM('Model inputs'!Z301,'Model inputs'!Z302)</f>
        <v>3964.0595452252346</v>
      </c>
      <c r="AA300" s="10">
        <f>SUM('Model inputs'!AA301,'Model inputs'!AA302)</f>
        <v>4071.3906531466087</v>
      </c>
      <c r="AB300" s="10">
        <f>SUM('Model inputs'!AB301,'Model inputs'!AB302)</f>
        <v>4173.023160560956</v>
      </c>
      <c r="AC300" s="10">
        <f>SUM('Model inputs'!AC301,'Model inputs'!AC302)</f>
        <v>4269.261920200284</v>
      </c>
      <c r="AD300" s="10">
        <f>SUM('Model inputs'!AD301,'Model inputs'!AD302)</f>
        <v>4360.395346797604</v>
      </c>
      <c r="AE300" s="10">
        <f>SUM('Model inputs'!AE301,'Model inputs'!AE302)</f>
        <v>4446.6963107086185</v>
      </c>
      <c r="AF300" s="10">
        <f>SUM('Model inputs'!AF301,'Model inputs'!AF302)</f>
        <v>4528.422982549027</v>
      </c>
      <c r="AG300" s="10">
        <f>SUM('Model inputs'!AG301,'Model inputs'!AG302)</f>
        <v>4605.819631554867</v>
      </c>
      <c r="AH300" s="10">
        <f>SUM('Model inputs'!AH301,'Model inputs'!AH302)</f>
        <v>4679.117380222416</v>
      </c>
      <c r="AI300" s="10">
        <f>SUM('Model inputs'!AI301,'Model inputs'!AI302)</f>
        <v>4748.53491764187</v>
      </c>
    </row>
    <row r="301" outlineLevel="1">
      <c r="A301" t="inlineStr" s="23">
        <is>
          <t xml:space="preserve">Attempted cases &gt; Growing shop</t>
        </is>
      </c>
      <c r="C301" s="8">
        <f>'Model inputs'!C250</f>
        <v>0</v>
      </c>
      <c r="D301" s="8">
        <f>'Model inputs'!D250</f>
        <v>0</v>
      </c>
      <c r="E301" s="8">
        <f>'Model inputs'!E250</f>
        <v>0</v>
      </c>
      <c r="F301" s="8">
        <f>'Model inputs'!F250</f>
        <v>0</v>
      </c>
      <c r="G301" s="8">
        <f>'Model inputs'!G250</f>
        <v>0</v>
      </c>
      <c r="H301" s="8">
        <f>'Model inputs'!H250</f>
        <v>0</v>
      </c>
      <c r="I301" s="8">
        <f>'Model inputs'!I250</f>
        <v>0</v>
      </c>
      <c r="J301" s="8">
        <f>'Model inputs'!J250</f>
        <v>0</v>
      </c>
      <c r="K301" s="8">
        <f>'SwapDesk — Operations · Merchan'!B18</f>
        <v>0</v>
      </c>
      <c r="L301" s="8">
        <f>'Model inputs'!L197*'Model inputs'!B191</f>
        <v>960</v>
      </c>
      <c r="M301" s="8">
        <f>'Model inputs'!M197*'Model inputs'!B191</f>
        <v>1112</v>
      </c>
      <c r="N301" s="8">
        <f>'Model inputs'!N197*'Model inputs'!B191</f>
        <v>1256.4</v>
      </c>
      <c r="O301" s="8">
        <f>'Model inputs'!O197*'Model inputs'!B191</f>
        <v>1393.58</v>
      </c>
      <c r="P301" s="8">
        <f>'Model inputs'!P197*'Model inputs'!B191</f>
        <v>1523.901</v>
      </c>
      <c r="Q301" s="8">
        <f>'Model inputs'!Q197*'Model inputs'!B191</f>
        <v>1647.70595</v>
      </c>
      <c r="R301" s="8">
        <f>'Model inputs'!R197*'Model inputs'!B191</f>
        <v>1765.3206524999998</v>
      </c>
      <c r="S301" s="8">
        <f>'Model inputs'!S197*'Model inputs'!B191</f>
        <v>1877.0546198749998</v>
      </c>
      <c r="T301" s="8">
        <f>'Model inputs'!T197*'Model inputs'!B191</f>
        <v>1983.20188888125</v>
      </c>
      <c r="U301" s="8">
        <f>'Model inputs'!U197*'Model inputs'!B191</f>
        <v>2084.0417944371875</v>
      </c>
      <c r="V301" s="8">
        <f>'Model inputs'!V197*'Model inputs'!B191</f>
        <v>2179.839704715328</v>
      </c>
      <c r="W301" s="8">
        <f>'Model inputs'!W197*'Model inputs'!B191</f>
        <v>2270.8477194795614</v>
      </c>
      <c r="X301" s="8">
        <f>'Model inputs'!X197*'Model inputs'!B191</f>
        <v>2357.3053335055833</v>
      </c>
      <c r="Y301" s="8">
        <f>'Model inputs'!Y197*'Model inputs'!B191</f>
        <v>2439.440066830304</v>
      </c>
      <c r="Z301" s="8">
        <f>'Model inputs'!Z197*'Model inputs'!B191</f>
        <v>2517.468063488789</v>
      </c>
      <c r="AA301" s="8">
        <f>'Model inputs'!AA197*'Model inputs'!B191</f>
        <v>2591.5946603143498</v>
      </c>
      <c r="AB301" s="8">
        <f>'Model inputs'!AB197*'Model inputs'!B191</f>
        <v>2662.0149272986323</v>
      </c>
      <c r="AC301" s="8">
        <f>'Model inputs'!AC197*'Model inputs'!B191</f>
        <v>2728.9141809337</v>
      </c>
      <c r="AD301" s="8">
        <f>'Model inputs'!AD197*'Model inputs'!B191</f>
        <v>2792.4684718870153</v>
      </c>
      <c r="AE301" s="8">
        <f>'Model inputs'!AE197*'Model inputs'!B191</f>
        <v>2852.8450482926646</v>
      </c>
      <c r="AF301" s="8">
        <f>'Model inputs'!AF197*'Model inputs'!B191</f>
        <v>2910.2027958780313</v>
      </c>
      <c r="AG301" s="8">
        <f>'Model inputs'!AG197*'Model inputs'!B191</f>
        <v>2964.6926560841302</v>
      </c>
      <c r="AH301" s="8">
        <f>'Model inputs'!AH197*'Model inputs'!B191</f>
        <v>3016.4580232799235</v>
      </c>
      <c r="AI301" s="8">
        <f>'Model inputs'!AI197*'Model inputs'!B191</f>
        <v>3065.6351221159275</v>
      </c>
    </row>
    <row r="302" outlineLevel="1">
      <c r="A302" t="inlineStr" s="23">
        <is>
          <t xml:space="preserve">Attempted cases &gt; Small shop</t>
        </is>
      </c>
      <c r="C302" s="8">
        <f>'Model inputs'!C251</f>
        <v>0</v>
      </c>
      <c r="D302" s="8">
        <f>'Model inputs'!D251</f>
        <v>0</v>
      </c>
      <c r="E302" s="8">
        <f>'Model inputs'!E251</f>
        <v>0</v>
      </c>
      <c r="F302" s="8">
        <f>'Model inputs'!F251</f>
        <v>0</v>
      </c>
      <c r="G302" s="8">
        <f>'Model inputs'!G251</f>
        <v>0</v>
      </c>
      <c r="H302" s="8">
        <f>'Model inputs'!H251</f>
        <v>0</v>
      </c>
      <c r="I302" s="8">
        <f>'Model inputs'!I251</f>
        <v>0</v>
      </c>
      <c r="J302" s="8">
        <f>'Model inputs'!J251</f>
        <v>0</v>
      </c>
      <c r="K302" s="8">
        <f>'SwapDesk — Operations · Merchan'!B19</f>
        <v>0</v>
      </c>
      <c r="L302" s="8">
        <f>'Model inputs'!L198*'Model inputs'!B192</f>
        <v>684</v>
      </c>
      <c r="M302" s="8">
        <f>'Model inputs'!M198*'Model inputs'!B192</f>
        <v>762.96</v>
      </c>
      <c r="N302" s="8">
        <f>'Model inputs'!N198*'Model inputs'!B192</f>
        <v>837.1824000000001</v>
      </c>
      <c r="O302" s="8">
        <f>'Model inputs'!O198*'Model inputs'!B192</f>
        <v>906.9514560000001</v>
      </c>
      <c r="P302" s="8">
        <f>'Model inputs'!P198*'Model inputs'!B192</f>
        <v>972.53436864</v>
      </c>
      <c r="Q302" s="8">
        <f>'Model inputs'!Q198*'Model inputs'!B192</f>
        <v>1034.1823065216</v>
      </c>
      <c r="R302" s="8">
        <f>'Model inputs'!R198*'Model inputs'!B192</f>
        <v>1092.1313681303038</v>
      </c>
      <c r="S302" s="8">
        <f>'Model inputs'!S198*'Model inputs'!B192</f>
        <v>1146.6034860424857</v>
      </c>
      <c r="T302" s="8">
        <f>'Model inputs'!T198*'Model inputs'!B192</f>
        <v>1197.8072768799366</v>
      </c>
      <c r="U302" s="8">
        <f>'Model inputs'!U198*'Model inputs'!B192</f>
        <v>1245.9388402671404</v>
      </c>
      <c r="V302" s="8">
        <f>'Model inputs'!V198*'Model inputs'!B192</f>
        <v>1291.182509851112</v>
      </c>
      <c r="W302" s="8">
        <f>'Model inputs'!W198*'Model inputs'!B192</f>
        <v>1333.7115592600453</v>
      </c>
      <c r="X302" s="8">
        <f>'Model inputs'!X198*'Model inputs'!B192</f>
        <v>1373.6888657044426</v>
      </c>
      <c r="Y302" s="8">
        <f>'Model inputs'!Y198*'Model inputs'!B192</f>
        <v>1411.267533762176</v>
      </c>
      <c r="Z302" s="8">
        <f>'Model inputs'!Z198*'Model inputs'!B192</f>
        <v>1446.5914817364455</v>
      </c>
      <c r="AA302" s="8">
        <f>'Model inputs'!AA198*'Model inputs'!B192</f>
        <v>1479.795992832259</v>
      </c>
      <c r="AB302" s="8">
        <f>'Model inputs'!AB198*'Model inputs'!B192</f>
        <v>1511.0082332623235</v>
      </c>
      <c r="AC302" s="8">
        <f>'Model inputs'!AC198*'Model inputs'!B192</f>
        <v>1540.347739266584</v>
      </c>
      <c r="AD302" s="8">
        <f>'Model inputs'!AD198*'Model inputs'!B192</f>
        <v>1567.926874910589</v>
      </c>
      <c r="AE302" s="8">
        <f>'Model inputs'!AE198*'Model inputs'!B192</f>
        <v>1593.8512624159537</v>
      </c>
      <c r="AF302" s="8">
        <f>'Model inputs'!AF198*'Model inputs'!B192</f>
        <v>1618.2201866709966</v>
      </c>
      <c r="AG302" s="8">
        <f>'Model inputs'!AG198*'Model inputs'!B192</f>
        <v>1641.1269754707366</v>
      </c>
      <c r="AH302" s="8">
        <f>'Model inputs'!AH198*'Model inputs'!B192</f>
        <v>1662.6593569424924</v>
      </c>
      <c r="AI302" s="8">
        <f>'Model inputs'!AI198*'Model inputs'!B192</f>
        <v>1682.899795525943</v>
      </c>
    </row>
    <row r="303">
      <c r="A303" t="inlineStr" s="22">
        <is>
          <t xml:space="preserve">Attempted cases</t>
        </is>
      </c>
      <c r="C303" s="10">
        <f>SUM('Model inputs'!C304,'Model inputs'!C305)</f>
        <v>0</v>
      </c>
      <c r="D303" s="10">
        <f>SUM('Model inputs'!D304,'Model inputs'!D305)</f>
        <v>0</v>
      </c>
      <c r="E303" s="10">
        <f>SUM('Model inputs'!E304,'Model inputs'!E305)</f>
        <v>0</v>
      </c>
      <c r="F303" s="10">
        <f>SUM('Model inputs'!F304,'Model inputs'!F305)</f>
        <v>0</v>
      </c>
      <c r="G303" s="10">
        <f>SUM('Model inputs'!G304,'Model inputs'!G305)</f>
        <v>0</v>
      </c>
      <c r="H303" s="10">
        <f>SUM('Model inputs'!H304,'Model inputs'!H305)</f>
        <v>0</v>
      </c>
      <c r="I303" s="10">
        <f>SUM('Model inputs'!I304,'Model inputs'!I305)</f>
        <v>0</v>
      </c>
      <c r="J303" s="10">
        <f>SUM('Model inputs'!J304,'Model inputs'!J305)</f>
        <v>0</v>
      </c>
      <c r="K303" s="10">
        <f>SUM('Model inputs'!K304,'Model inputs'!K305)</f>
        <v>0</v>
      </c>
      <c r="L303" s="10">
        <f>SUM('Model inputs'!L304,'Model inputs'!L305)</f>
        <v>2336</v>
      </c>
      <c r="M303" s="10">
        <f>SUM('Model inputs'!M304,'Model inputs'!M305)</f>
        <v>3256.2200000000003</v>
      </c>
      <c r="N303" s="10">
        <f>SUM('Model inputs'!N304,'Model inputs'!N305)</f>
        <v>4160.931500000001</v>
      </c>
      <c r="O303" s="10">
        <f>SUM('Model inputs'!O304,'Model inputs'!O305)</f>
        <v>5050.4012315</v>
      </c>
      <c r="P303" s="10">
        <f>SUM('Model inputs'!P304,'Model inputs'!P305)</f>
        <v>5924.8912429475</v>
      </c>
      <c r="Q303" s="10">
        <f>SUM('Model inputs'!Q304,'Model inputs'!Q305)</f>
        <v>6784.658983624889</v>
      </c>
      <c r="R303" s="10">
        <f>SUM('Model inputs'!R304,'Model inputs'!R305)</f>
        <v>7629.957386005683</v>
      </c>
      <c r="S303" s="10">
        <f>SUM('Model inputs'!S304,'Model inputs'!S305)</f>
        <v>8461.034946608062</v>
      </c>
      <c r="T303" s="10">
        <f>SUM('Model inputs'!T304,'Model inputs'!T305)</f>
        <v>9278.135805373557</v>
      </c>
      <c r="U303" s="10">
        <f>SUM('Model inputs'!U304,'Model inputs'!U305)</f>
        <v>10081.499823598277</v>
      </c>
      <c r="V303" s="10">
        <f>SUM('Model inputs'!V304,'Model inputs'!V305)</f>
        <v>10871.36266044352</v>
      </c>
      <c r="W303" s="10">
        <f>SUM('Model inputs'!W304,'Model inputs'!W305)</f>
        <v>11647.955848052097</v>
      </c>
      <c r="X303" s="10">
        <f>SUM('Model inputs'!X304,'Model inputs'!X305)</f>
        <v>12411.506865296244</v>
      </c>
      <c r="Y303" s="10">
        <f>SUM('Model inputs'!Y304,'Model inputs'!Y305)</f>
        <v>13162.23921018243</v>
      </c>
      <c r="Z303" s="10">
        <f>SUM('Model inputs'!Z304,'Model inputs'!Z305)</f>
        <v>13900.372470938008</v>
      </c>
      <c r="AA303" s="10">
        <f>SUM('Model inputs'!AA304,'Model inputs'!AA305)</f>
        <v>14626.12239580409</v>
      </c>
      <c r="AB303" s="10">
        <f>SUM('Model inputs'!AB304,'Model inputs'!AB305)</f>
        <v>15339.700961558574</v>
      </c>
      <c r="AC303" s="10">
        <f>SUM('Model inputs'!AC304,'Model inputs'!AC305)</f>
        <v>16041.31644079291</v>
      </c>
      <c r="AD303" s="10">
        <f>SUM('Model inputs'!AD304,'Model inputs'!AD305)</f>
        <v>16731.17346796558</v>
      </c>
      <c r="AE303" s="10">
        <f>SUM('Model inputs'!AE304,'Model inputs'!AE305)</f>
        <v>17409.473104254965</v>
      </c>
      <c r="AF303" s="10">
        <f>SUM('Model inputs'!AF304,'Model inputs'!AF305)</f>
        <v>18076.412901233834</v>
      </c>
      <c r="AG303" s="10">
        <f>SUM('Model inputs'!AG304,'Model inputs'!AG305)</f>
        <v>18732.186963387165</v>
      </c>
      <c r="AH303" s="10">
        <f>SUM('Model inputs'!AH304,'Model inputs'!AH305)</f>
        <v>19376.98600949476</v>
      </c>
      <c r="AI303" s="10">
        <f>SUM('Model inputs'!AI304,'Model inputs'!AI305)</f>
        <v>20010.997432899574</v>
      </c>
    </row>
    <row r="304" outlineLevel="1">
      <c r="A304" t="inlineStr" s="23">
        <is>
          <t xml:space="preserve">Attempted cases &gt; Growing shop</t>
        </is>
      </c>
      <c r="C304" s="8">
        <f>'Model inputs'!C250</f>
        <v>0</v>
      </c>
      <c r="D304" s="8">
        <f>'Model inputs'!D250</f>
        <v>0</v>
      </c>
      <c r="E304" s="8">
        <f>'Model inputs'!E250</f>
        <v>0</v>
      </c>
      <c r="F304" s="8">
        <f>'Model inputs'!F250</f>
        <v>0</v>
      </c>
      <c r="G304" s="8">
        <f>'Model inputs'!G250</f>
        <v>0</v>
      </c>
      <c r="H304" s="8">
        <f>'Model inputs'!H250</f>
        <v>0</v>
      </c>
      <c r="I304" s="8">
        <f>'Model inputs'!I250</f>
        <v>0</v>
      </c>
      <c r="J304" s="8">
        <f>'Model inputs'!J250</f>
        <v>0</v>
      </c>
      <c r="K304" s="8">
        <f>'SwapDesk — Operations · Merchan'!B18</f>
        <v>0</v>
      </c>
      <c r="L304" s="8">
        <f>'Model inputs'!L200*'Model inputs'!B194</f>
        <v>1388</v>
      </c>
      <c r="M304" s="8">
        <f>'Model inputs'!M200*'Model inputs'!B194</f>
        <v>1967.18</v>
      </c>
      <c r="N304" s="8">
        <f>'Model inputs'!N200*'Model inputs'!B194</f>
        <v>2537.6723</v>
      </c>
      <c r="O304" s="8">
        <f>'Model inputs'!O200*'Model inputs'!B194</f>
        <v>3099.6072155</v>
      </c>
      <c r="P304" s="8">
        <f>'Model inputs'!P200*'Model inputs'!B194</f>
        <v>3653.1131072675003</v>
      </c>
      <c r="Q304" s="8">
        <f>'Model inputs'!Q200*'Model inputs'!B194</f>
        <v>4198.316410658488</v>
      </c>
      <c r="R304" s="8">
        <f>'Model inputs'!R200*'Model inputs'!B194</f>
        <v>4735.34166449861</v>
      </c>
      <c r="S304" s="8">
        <f>'Model inputs'!S200*'Model inputs'!B194</f>
        <v>5264.3115395311315</v>
      </c>
      <c r="T304" s="8">
        <f>'Model inputs'!T200*'Model inputs'!B194</f>
        <v>5785.346866438164</v>
      </c>
      <c r="U304" s="8">
        <f>'Model inputs'!U200*'Model inputs'!B194</f>
        <v>6298.566663441592</v>
      </c>
      <c r="V304" s="8">
        <f>'Model inputs'!V200*'Model inputs'!B194</f>
        <v>6804.088163489968</v>
      </c>
      <c r="W304" s="8">
        <f>'Model inputs'!W200*'Model inputs'!B194</f>
        <v>7302.0268410376175</v>
      </c>
      <c r="X304" s="8">
        <f>'Model inputs'!X200*'Model inputs'!B194</f>
        <v>7792.496438422053</v>
      </c>
      <c r="Y304" s="8">
        <f>'Model inputs'!Y200*'Model inputs'!B194</f>
        <v>8275.608991845722</v>
      </c>
      <c r="Z304" s="8">
        <f>'Model inputs'!Z200*'Model inputs'!B194</f>
        <v>8751.474856968036</v>
      </c>
      <c r="AA304" s="8">
        <f>'Model inputs'!AA200*'Model inputs'!B194</f>
        <v>9220.202734113516</v>
      </c>
      <c r="AB304" s="8">
        <f>'Model inputs'!AB200*'Model inputs'!B194</f>
        <v>9681.899693101814</v>
      </c>
      <c r="AC304" s="8">
        <f>'Model inputs'!AC200*'Model inputs'!B194</f>
        <v>10136.671197705286</v>
      </c>
      <c r="AD304" s="8">
        <f>'Model inputs'!AD200*'Model inputs'!B194</f>
        <v>10584.621129739706</v>
      </c>
      <c r="AE304" s="8">
        <f>'Model inputs'!AE200*'Model inputs'!B194</f>
        <v>11025.85181279361</v>
      </c>
      <c r="AF304" s="8">
        <f>'Model inputs'!AF200*'Model inputs'!B194</f>
        <v>11460.464035601706</v>
      </c>
      <c r="AG304" s="8">
        <f>'Model inputs'!AG200*'Model inputs'!B194</f>
        <v>11888.55707506768</v>
      </c>
      <c r="AH304" s="8">
        <f>'Model inputs'!AH200*'Model inputs'!B194</f>
        <v>12310.228718941666</v>
      </c>
      <c r="AI304" s="8">
        <f>'Model inputs'!AI200*'Model inputs'!B194</f>
        <v>12725.575288157539</v>
      </c>
    </row>
    <row r="305" outlineLevel="1">
      <c r="A305" t="inlineStr" s="23">
        <is>
          <t xml:space="preserve">Attempted cases &gt; Small shop</t>
        </is>
      </c>
      <c r="C305" s="8">
        <f>'Model inputs'!C251</f>
        <v>0</v>
      </c>
      <c r="D305" s="8">
        <f>'Model inputs'!D251</f>
        <v>0</v>
      </c>
      <c r="E305" s="8">
        <f>'Model inputs'!E251</f>
        <v>0</v>
      </c>
      <c r="F305" s="8">
        <f>'Model inputs'!F251</f>
        <v>0</v>
      </c>
      <c r="G305" s="8">
        <f>'Model inputs'!G251</f>
        <v>0</v>
      </c>
      <c r="H305" s="8">
        <f>'Model inputs'!H251</f>
        <v>0</v>
      </c>
      <c r="I305" s="8">
        <f>'Model inputs'!I251</f>
        <v>0</v>
      </c>
      <c r="J305" s="8">
        <f>'Model inputs'!J251</f>
        <v>0</v>
      </c>
      <c r="K305" s="8">
        <f>'SwapDesk — Operations · Merchan'!B19</f>
        <v>0</v>
      </c>
      <c r="L305" s="8">
        <f>'Model inputs'!L201*'Model inputs'!B195</f>
        <v>948</v>
      </c>
      <c r="M305" s="8">
        <f>'Model inputs'!M201*'Model inputs'!B195</f>
        <v>1289.0400000000002</v>
      </c>
      <c r="N305" s="8">
        <f>'Model inputs'!N201*'Model inputs'!B195</f>
        <v>1623.2592</v>
      </c>
      <c r="O305" s="8">
        <f>'Model inputs'!O201*'Model inputs'!B195</f>
        <v>1950.7940160000003</v>
      </c>
      <c r="P305" s="8">
        <f>'Model inputs'!P201*'Model inputs'!B195</f>
        <v>2271.7781356800006</v>
      </c>
      <c r="Q305" s="8">
        <f>'Model inputs'!Q201*'Model inputs'!B195</f>
        <v>2586.3425729664004</v>
      </c>
      <c r="R305" s="8">
        <f>'Model inputs'!R201*'Model inputs'!B195</f>
        <v>2894.6157215070725</v>
      </c>
      <c r="S305" s="8">
        <f>'Model inputs'!S201*'Model inputs'!B195</f>
        <v>3196.723407076931</v>
      </c>
      <c r="T305" s="8">
        <f>'Model inputs'!T201*'Model inputs'!B195</f>
        <v>3492.7889389353923</v>
      </c>
      <c r="U305" s="8">
        <f>'Model inputs'!U201*'Model inputs'!B195</f>
        <v>3782.9331601566846</v>
      </c>
      <c r="V305" s="8">
        <f>'Model inputs'!V201*'Model inputs'!B195</f>
        <v>4067.274496953551</v>
      </c>
      <c r="W305" s="8">
        <f>'Model inputs'!W201*'Model inputs'!B195</f>
        <v>4345.929007014481</v>
      </c>
      <c r="X305" s="8">
        <f>'Model inputs'!X201*'Model inputs'!B195</f>
        <v>4619.010426874191</v>
      </c>
      <c r="Y305" s="8">
        <f>'Model inputs'!Y201*'Model inputs'!B195</f>
        <v>4886.630218336707</v>
      </c>
      <c r="Z305" s="8">
        <f>'Model inputs'!Z201*'Model inputs'!B195</f>
        <v>5148.897613969973</v>
      </c>
      <c r="AA305" s="8">
        <f>'Model inputs'!AA201*'Model inputs'!B195</f>
        <v>5405.919661690573</v>
      </c>
      <c r="AB305" s="8">
        <f>'Model inputs'!AB201*'Model inputs'!B195</f>
        <v>5657.801268456761</v>
      </c>
      <c r="AC305" s="8">
        <f>'Model inputs'!AC201*'Model inputs'!B195</f>
        <v>5904.645243087626</v>
      </c>
      <c r="AD305" s="8">
        <f>'Model inputs'!AD201*'Model inputs'!B195</f>
        <v>6146.5523382258725</v>
      </c>
      <c r="AE305" s="8">
        <f>'Model inputs'!AE201*'Model inputs'!B195</f>
        <v>6383.621291461355</v>
      </c>
      <c r="AF305" s="8">
        <f>'Model inputs'!AF201*'Model inputs'!B195</f>
        <v>6615.948865632128</v>
      </c>
      <c r="AG305" s="8">
        <f>'Model inputs'!AG201*'Model inputs'!B195</f>
        <v>6843.629888319486</v>
      </c>
      <c r="AH305" s="8">
        <f>'Model inputs'!AH201*'Model inputs'!B195</f>
        <v>7066.757290553097</v>
      </c>
      <c r="AI305" s="8">
        <f>'Model inputs'!AI201*'Model inputs'!B195</f>
        <v>7285.422144742035</v>
      </c>
    </row>
    <row r="306">
      <c r="A306" t="inlineStr" s="22">
        <is>
          <t xml:space="preserve">Extra executions</t>
        </is>
      </c>
      <c r="C306" s="10">
        <f>SUM('Model inputs'!C307,'Model inputs'!C308)</f>
        <v>0</v>
      </c>
      <c r="D306" s="10">
        <f>SUM('Model inputs'!D307,'Model inputs'!D308)</f>
        <v>0</v>
      </c>
      <c r="E306" s="10">
        <f>SUM('Model inputs'!E307,'Model inputs'!E308)</f>
        <v>0</v>
      </c>
      <c r="F306" s="10">
        <f>SUM('Model inputs'!F307,'Model inputs'!F308)</f>
        <v>0</v>
      </c>
      <c r="G306" s="10">
        <f>SUM('Model inputs'!G307,'Model inputs'!G308)</f>
        <v>0</v>
      </c>
      <c r="H306" s="10">
        <f>SUM('Model inputs'!H307,'Model inputs'!H308)</f>
        <v>0</v>
      </c>
      <c r="I306" s="10">
        <f>SUM('Model inputs'!I307,'Model inputs'!I308)</f>
        <v>0</v>
      </c>
      <c r="J306" s="10">
        <f>SUM('Model inputs'!J307,'Model inputs'!J308)</f>
        <v>0</v>
      </c>
      <c r="K306" s="10">
        <f>SUM('Model inputs'!K307,'Model inputs'!K308)</f>
        <v>0</v>
      </c>
      <c r="L306" s="10">
        <f>SUM('Model inputs'!L307,'Model inputs'!L308)</f>
        <v>986.4</v>
      </c>
      <c r="M306" s="10">
        <f>SUM('Model inputs'!M307,'Model inputs'!M308)</f>
        <v>1124.9759999999999</v>
      </c>
      <c r="N306" s="10">
        <f>SUM('Model inputs'!N307,'Model inputs'!N308)</f>
        <v>1256.1494400000001</v>
      </c>
      <c r="O306" s="10">
        <f>SUM('Model inputs'!O307,'Model inputs'!O308)</f>
        <v>1380.3188736</v>
      </c>
      <c r="P306" s="10">
        <f>SUM('Model inputs'!P307,'Model inputs'!P308)</f>
        <v>1497.861221184</v>
      </c>
      <c r="Q306" s="10">
        <f>SUM('Model inputs'!Q307,'Model inputs'!Q308)</f>
        <v>1609.13295391296</v>
      </c>
      <c r="R306" s="10">
        <f>SUM('Model inputs'!R307,'Model inputs'!R308)</f>
        <v>1714.471212378182</v>
      </c>
      <c r="S306" s="10">
        <f>SUM('Model inputs'!S307,'Model inputs'!S308)</f>
        <v>1814.1948635504914</v>
      </c>
      <c r="T306" s="10">
        <f>SUM('Model inputs'!T307,'Model inputs'!T308)</f>
        <v>1908.6054994567116</v>
      </c>
      <c r="U306" s="10">
        <f>SUM('Model inputs'!U307,'Model inputs'!U308)</f>
        <v>1997.9883808225968</v>
      </c>
      <c r="V306" s="10">
        <f>SUM('Model inputs'!V307,'Model inputs'!V308)</f>
        <v>2082.613328739864</v>
      </c>
      <c r="W306" s="10">
        <f>SUM('Model inputs'!W307,'Model inputs'!W308)</f>
        <v>2162.735567243764</v>
      </c>
      <c r="X306" s="10">
        <f>SUM('Model inputs'!X307,'Model inputs'!X308)</f>
        <v>2238.5965195260155</v>
      </c>
      <c r="Y306" s="10">
        <f>SUM('Model inputs'!Y307,'Model inputs'!Y308)</f>
        <v>2310.424560355488</v>
      </c>
      <c r="Z306" s="10">
        <f>SUM('Model inputs'!Z307,'Model inputs'!Z308)</f>
        <v>2378.435727135141</v>
      </c>
      <c r="AA306" s="10">
        <f>SUM('Model inputs'!AA307,'Model inputs'!AA308)</f>
        <v>2442.834391887965</v>
      </c>
      <c r="AB306" s="10">
        <f>SUM('Model inputs'!AB307,'Model inputs'!AB308)</f>
        <v>2503.8138963365736</v>
      </c>
      <c r="AC306" s="10">
        <f>SUM('Model inputs'!AC307,'Model inputs'!AC308)</f>
        <v>2561.5571521201705</v>
      </c>
      <c r="AD306" s="10">
        <f>SUM('Model inputs'!AD307,'Model inputs'!AD308)</f>
        <v>2616.2372080785626</v>
      </c>
      <c r="AE306" s="10">
        <f>SUM('Model inputs'!AE307,'Model inputs'!AE308)</f>
        <v>2668.017786425171</v>
      </c>
      <c r="AF306" s="10">
        <f>SUM('Model inputs'!AF307,'Model inputs'!AF308)</f>
        <v>2717.0537895294165</v>
      </c>
      <c r="AG306" s="10">
        <f>SUM('Model inputs'!AG307,'Model inputs'!AG308)</f>
        <v>2763.49177893292</v>
      </c>
      <c r="AH306" s="10">
        <f>SUM('Model inputs'!AH307,'Model inputs'!AH308)</f>
        <v>2807.4704281334493</v>
      </c>
      <c r="AI306" s="10">
        <f>SUM('Model inputs'!AI307,'Model inputs'!AI308)</f>
        <v>2849.120950585122</v>
      </c>
    </row>
    <row r="307" outlineLevel="1">
      <c r="A307" t="inlineStr" s="23">
        <is>
          <t xml:space="preserve">Extra executions &gt; Growing shop</t>
        </is>
      </c>
      <c r="C307" s="8">
        <f>'Model inputs'!C247</f>
        <v>0</v>
      </c>
      <c r="D307" s="8">
        <f>'Model inputs'!D247</f>
        <v>0</v>
      </c>
      <c r="E307" s="8">
        <f>'Model inputs'!E247</f>
        <v>0</v>
      </c>
      <c r="F307" s="8">
        <f>'Model inputs'!F247</f>
        <v>0</v>
      </c>
      <c r="G307" s="8">
        <f>'Model inputs'!G247</f>
        <v>0</v>
      </c>
      <c r="H307" s="8">
        <f>'Model inputs'!H247</f>
        <v>0</v>
      </c>
      <c r="I307" s="8">
        <f>'Model inputs'!I247</f>
        <v>0</v>
      </c>
      <c r="J307" s="8">
        <f>'Model inputs'!J247</f>
        <v>0</v>
      </c>
      <c r="K307" s="8">
        <f>'SwapDesk — Operations · Merchan'!B27</f>
        <v>0</v>
      </c>
      <c r="L307" s="8">
        <f>'Model inputs'!L301*'Model inputs'!B327</f>
        <v>576</v>
      </c>
      <c r="M307" s="8">
        <f>'Model inputs'!M301*'Model inputs'!B327</f>
        <v>667.1999999999999</v>
      </c>
      <c r="N307" s="8">
        <f>'Model inputs'!N301*'Model inputs'!B327</f>
        <v>753.84</v>
      </c>
      <c r="O307" s="8">
        <f>'Model inputs'!O301*'Model inputs'!B327</f>
        <v>836.1479999999999</v>
      </c>
      <c r="P307" s="8">
        <f>'Model inputs'!P301*'Model inputs'!B327</f>
        <v>914.3406</v>
      </c>
      <c r="Q307" s="8">
        <f>'Model inputs'!Q301*'Model inputs'!B327</f>
        <v>988.62357</v>
      </c>
      <c r="R307" s="8">
        <f>'Model inputs'!R301*'Model inputs'!B327</f>
        <v>1059.1923914999998</v>
      </c>
      <c r="S307" s="8">
        <f>'Model inputs'!S301*'Model inputs'!B327</f>
        <v>1126.232771925</v>
      </c>
      <c r="T307" s="8">
        <f>'Model inputs'!T301*'Model inputs'!B327</f>
        <v>1189.9211333287499</v>
      </c>
      <c r="U307" s="8">
        <f>'Model inputs'!U301*'Model inputs'!B327</f>
        <v>1250.4250766623124</v>
      </c>
      <c r="V307" s="8">
        <f>'Model inputs'!V301*'Model inputs'!B327</f>
        <v>1307.9038228291968</v>
      </c>
      <c r="W307" s="8">
        <f>'Model inputs'!W301*'Model inputs'!B327</f>
        <v>1362.5086316877369</v>
      </c>
      <c r="X307" s="8">
        <f>'Model inputs'!X301*'Model inputs'!B327</f>
        <v>1414.38320010335</v>
      </c>
      <c r="Y307" s="8">
        <f>'Model inputs'!Y301*'Model inputs'!B327</f>
        <v>1463.6640400981826</v>
      </c>
      <c r="Z307" s="8">
        <f>'Model inputs'!Z301*'Model inputs'!B327</f>
        <v>1510.4808380932734</v>
      </c>
      <c r="AA307" s="8">
        <f>'Model inputs'!AA301*'Model inputs'!B327</f>
        <v>1554.9567961886098</v>
      </c>
      <c r="AB307" s="8">
        <f>'Model inputs'!AB301*'Model inputs'!B327</f>
        <v>1597.2089563791794</v>
      </c>
      <c r="AC307" s="8">
        <f>'Model inputs'!AC301*'Model inputs'!B327</f>
        <v>1637.3485085602201</v>
      </c>
      <c r="AD307" s="8">
        <f>'Model inputs'!AD301*'Model inputs'!B327</f>
        <v>1675.481083132209</v>
      </c>
      <c r="AE307" s="8">
        <f>'Model inputs'!AE301*'Model inputs'!B327</f>
        <v>1711.7070289755986</v>
      </c>
      <c r="AF307" s="8">
        <f>'Model inputs'!AF301*'Model inputs'!B327</f>
        <v>1746.1216775268188</v>
      </c>
      <c r="AG307" s="8">
        <f>'Model inputs'!AG301*'Model inputs'!B327</f>
        <v>1778.8155936504781</v>
      </c>
      <c r="AH307" s="8">
        <f>'Model inputs'!AH301*'Model inputs'!B327</f>
        <v>1809.874813967954</v>
      </c>
      <c r="AI307" s="8">
        <f>'Model inputs'!AI301*'Model inputs'!B327</f>
        <v>1839.3810732695565</v>
      </c>
    </row>
    <row r="308" outlineLevel="1">
      <c r="A308" t="inlineStr" s="23">
        <is>
          <t xml:space="preserve">Extra executions &gt; Small shop</t>
        </is>
      </c>
      <c r="C308" s="8">
        <f>'Model inputs'!C248</f>
        <v>0</v>
      </c>
      <c r="D308" s="8">
        <f>'Model inputs'!D248</f>
        <v>0</v>
      </c>
      <c r="E308" s="8">
        <f>'Model inputs'!E248</f>
        <v>0</v>
      </c>
      <c r="F308" s="8">
        <f>'Model inputs'!F248</f>
        <v>0</v>
      </c>
      <c r="G308" s="8">
        <f>'Model inputs'!G248</f>
        <v>0</v>
      </c>
      <c r="H308" s="8">
        <f>'Model inputs'!H248</f>
        <v>0</v>
      </c>
      <c r="I308" s="8">
        <f>'Model inputs'!I248</f>
        <v>0</v>
      </c>
      <c r="J308" s="8">
        <f>'Model inputs'!J248</f>
        <v>0</v>
      </c>
      <c r="K308" s="8">
        <f>'SwapDesk — Operations · Merchan'!B28</f>
        <v>0</v>
      </c>
      <c r="L308" s="8">
        <f>'Model inputs'!L302*'Model inputs'!B328</f>
        <v>410.4</v>
      </c>
      <c r="M308" s="8">
        <f>'Model inputs'!M302*'Model inputs'!B328</f>
        <v>457.776</v>
      </c>
      <c r="N308" s="8">
        <f>'Model inputs'!N302*'Model inputs'!B328</f>
        <v>502.30944000000005</v>
      </c>
      <c r="O308" s="8">
        <f>'Model inputs'!O302*'Model inputs'!B328</f>
        <v>544.1708736</v>
      </c>
      <c r="P308" s="8">
        <f>'Model inputs'!P302*'Model inputs'!B328</f>
        <v>583.520621184</v>
      </c>
      <c r="Q308" s="8">
        <f>'Model inputs'!Q302*'Model inputs'!B328</f>
        <v>620.50938391296</v>
      </c>
      <c r="R308" s="8">
        <f>'Model inputs'!R302*'Model inputs'!B328</f>
        <v>655.2788208781823</v>
      </c>
      <c r="S308" s="8">
        <f>'Model inputs'!S302*'Model inputs'!B328</f>
        <v>687.9620916254913</v>
      </c>
      <c r="T308" s="8">
        <f>'Model inputs'!T302*'Model inputs'!B328</f>
        <v>718.6843661279619</v>
      </c>
      <c r="U308" s="8">
        <f>'Model inputs'!U302*'Model inputs'!B328</f>
        <v>747.5633041602842</v>
      </c>
      <c r="V308" s="8">
        <f>'Model inputs'!V302*'Model inputs'!B328</f>
        <v>774.7095059106672</v>
      </c>
      <c r="W308" s="8">
        <f>'Model inputs'!W302*'Model inputs'!B328</f>
        <v>800.2269355560271</v>
      </c>
      <c r="X308" s="8">
        <f>'Model inputs'!X302*'Model inputs'!B328</f>
        <v>824.2133194226656</v>
      </c>
      <c r="Y308" s="8">
        <f>'Model inputs'!Y302*'Model inputs'!B328</f>
        <v>846.7605202573056</v>
      </c>
      <c r="Z308" s="8">
        <f>'Model inputs'!Z302*'Model inputs'!B328</f>
        <v>867.9548890418673</v>
      </c>
      <c r="AA308" s="8">
        <f>'Model inputs'!AA302*'Model inputs'!B328</f>
        <v>887.8775956993553</v>
      </c>
      <c r="AB308" s="8">
        <f>'Model inputs'!AB302*'Model inputs'!B328</f>
        <v>906.6049399573941</v>
      </c>
      <c r="AC308" s="8">
        <f>'Model inputs'!AC302*'Model inputs'!B328</f>
        <v>924.2086435599504</v>
      </c>
      <c r="AD308" s="8">
        <f>'Model inputs'!AD302*'Model inputs'!B328</f>
        <v>940.7561249463533</v>
      </c>
      <c r="AE308" s="8">
        <f>'Model inputs'!AE302*'Model inputs'!B328</f>
        <v>956.3107574495722</v>
      </c>
      <c r="AF308" s="8">
        <f>'Model inputs'!AF302*'Model inputs'!B328</f>
        <v>970.9321120025979</v>
      </c>
      <c r="AG308" s="8">
        <f>'Model inputs'!AG302*'Model inputs'!B328</f>
        <v>984.6761852824419</v>
      </c>
      <c r="AH308" s="8">
        <f>'Model inputs'!AH302*'Model inputs'!B328</f>
        <v>997.5956141654954</v>
      </c>
      <c r="AI308" s="8">
        <f>'Model inputs'!AI302*'Model inputs'!B328</f>
        <v>1009.7398773155658</v>
      </c>
    </row>
    <row r="309">
      <c r="A309" t="inlineStr" s="22">
        <is>
          <t xml:space="preserve">Extra executions</t>
        </is>
      </c>
      <c r="C309" s="10">
        <f>SUM('Model inputs'!C310,'Model inputs'!C311)</f>
        <v>0</v>
      </c>
      <c r="D309" s="10">
        <f>SUM('Model inputs'!D310,'Model inputs'!D311)</f>
        <v>0</v>
      </c>
      <c r="E309" s="10">
        <f>SUM('Model inputs'!E310,'Model inputs'!E311)</f>
        <v>0</v>
      </c>
      <c r="F309" s="10">
        <f>SUM('Model inputs'!F310,'Model inputs'!F311)</f>
        <v>0</v>
      </c>
      <c r="G309" s="10">
        <f>SUM('Model inputs'!G310,'Model inputs'!G311)</f>
        <v>0</v>
      </c>
      <c r="H309" s="10">
        <f>SUM('Model inputs'!H310,'Model inputs'!H311)</f>
        <v>0</v>
      </c>
      <c r="I309" s="10">
        <f>SUM('Model inputs'!I310,'Model inputs'!I311)</f>
        <v>0</v>
      </c>
      <c r="J309" s="10">
        <f>SUM('Model inputs'!J310,'Model inputs'!J311)</f>
        <v>0</v>
      </c>
      <c r="K309" s="10">
        <f>SUM('Model inputs'!K310,'Model inputs'!K311)</f>
        <v>0</v>
      </c>
      <c r="L309" s="10">
        <f>SUM('Model inputs'!L310,'Model inputs'!L311)</f>
        <v>233.60000000000002</v>
      </c>
      <c r="M309" s="10">
        <f>SUM('Model inputs'!M310,'Model inputs'!M311)</f>
        <v>325.62200000000007</v>
      </c>
      <c r="N309" s="10">
        <f>SUM('Model inputs'!N310,'Model inputs'!N311)</f>
        <v>416.09315000000004</v>
      </c>
      <c r="O309" s="10">
        <f>SUM('Model inputs'!O310,'Model inputs'!O311)</f>
        <v>505.04012315000006</v>
      </c>
      <c r="P309" s="10">
        <f>SUM('Model inputs'!P310,'Model inputs'!P311)</f>
        <v>592.4891242947501</v>
      </c>
      <c r="Q309" s="10">
        <f>SUM('Model inputs'!Q310,'Model inputs'!Q311)</f>
        <v>678.4658983624888</v>
      </c>
      <c r="R309" s="10">
        <f>SUM('Model inputs'!R310,'Model inputs'!R311)</f>
        <v>762.9957386005683</v>
      </c>
      <c r="S309" s="10">
        <f>SUM('Model inputs'!S310,'Model inputs'!S311)</f>
        <v>846.1034946608063</v>
      </c>
      <c r="T309" s="10">
        <f>SUM('Model inputs'!T310,'Model inputs'!T311)</f>
        <v>927.8135805373557</v>
      </c>
      <c r="U309" s="10">
        <f>SUM('Model inputs'!U310,'Model inputs'!U311)</f>
        <v>1008.1499823598278</v>
      </c>
      <c r="V309" s="10">
        <f>SUM('Model inputs'!V310,'Model inputs'!V311)</f>
        <v>1087.136266044352</v>
      </c>
      <c r="W309" s="10">
        <f>SUM('Model inputs'!W310,'Model inputs'!W311)</f>
        <v>1164.79558480521</v>
      </c>
      <c r="X309" s="10">
        <f>SUM('Model inputs'!X310,'Model inputs'!X311)</f>
        <v>1241.1506865296244</v>
      </c>
      <c r="Y309" s="10">
        <f>SUM('Model inputs'!Y310,'Model inputs'!Y311)</f>
        <v>1316.223921018243</v>
      </c>
      <c r="Z309" s="10">
        <f>SUM('Model inputs'!Z310,'Model inputs'!Z311)</f>
        <v>1390.037247093801</v>
      </c>
      <c r="AA309" s="10">
        <f>SUM('Model inputs'!AA310,'Model inputs'!AA311)</f>
        <v>1462.612239580409</v>
      </c>
      <c r="AB309" s="10">
        <f>SUM('Model inputs'!AB310,'Model inputs'!AB311)</f>
        <v>1533.9700961558574</v>
      </c>
      <c r="AC309" s="10">
        <f>SUM('Model inputs'!AC310,'Model inputs'!AC311)</f>
        <v>1604.1316440792912</v>
      </c>
      <c r="AD309" s="10">
        <f>SUM('Model inputs'!AD310,'Model inputs'!AD311)</f>
        <v>1673.1173467965577</v>
      </c>
      <c r="AE309" s="10">
        <f>SUM('Model inputs'!AE310,'Model inputs'!AE311)</f>
        <v>1740.9473104254967</v>
      </c>
      <c r="AF309" s="10">
        <f>SUM('Model inputs'!AF310,'Model inputs'!AF311)</f>
        <v>1807.6412901233834</v>
      </c>
      <c r="AG309" s="10">
        <f>SUM('Model inputs'!AG310,'Model inputs'!AG311)</f>
        <v>1873.2186963387167</v>
      </c>
      <c r="AH309" s="10">
        <f>SUM('Model inputs'!AH310,'Model inputs'!AH311)</f>
        <v>1937.6986009494763</v>
      </c>
      <c r="AI309" s="10">
        <f>SUM('Model inputs'!AI310,'Model inputs'!AI311)</f>
        <v>2001.0997432899576</v>
      </c>
    </row>
    <row r="310" outlineLevel="1">
      <c r="A310" t="inlineStr" s="23">
        <is>
          <t xml:space="preserve">Extra executions &gt; Growing shop</t>
        </is>
      </c>
      <c r="C310" s="8">
        <f>'Model inputs'!C247</f>
        <v>0</v>
      </c>
      <c r="D310" s="8">
        <f>'Model inputs'!D247</f>
        <v>0</v>
      </c>
      <c r="E310" s="8">
        <f>'Model inputs'!E247</f>
        <v>0</v>
      </c>
      <c r="F310" s="8">
        <f>'Model inputs'!F247</f>
        <v>0</v>
      </c>
      <c r="G310" s="8">
        <f>'Model inputs'!G247</f>
        <v>0</v>
      </c>
      <c r="H310" s="8">
        <f>'Model inputs'!H247</f>
        <v>0</v>
      </c>
      <c r="I310" s="8">
        <f>'Model inputs'!I247</f>
        <v>0</v>
      </c>
      <c r="J310" s="8">
        <f>'Model inputs'!J247</f>
        <v>0</v>
      </c>
      <c r="K310" s="8">
        <f>'SwapDesk — Operations · Merchan'!B27</f>
        <v>0</v>
      </c>
      <c r="L310" s="8">
        <f>'Model inputs'!L304*'Model inputs'!B330</f>
        <v>138.8</v>
      </c>
      <c r="M310" s="8">
        <f>'Model inputs'!M304*'Model inputs'!B330</f>
        <v>196.71800000000002</v>
      </c>
      <c r="N310" s="8">
        <f>'Model inputs'!N304*'Model inputs'!B330</f>
        <v>253.76723000000004</v>
      </c>
      <c r="O310" s="8">
        <f>'Model inputs'!O304*'Model inputs'!B330</f>
        <v>309.96072155</v>
      </c>
      <c r="P310" s="8">
        <f>'Model inputs'!P304*'Model inputs'!B330</f>
        <v>365.31131072675004</v>
      </c>
      <c r="Q310" s="8">
        <f>'Model inputs'!Q304*'Model inputs'!B330</f>
        <v>419.8316410658488</v>
      </c>
      <c r="R310" s="8">
        <f>'Model inputs'!R304*'Model inputs'!B330</f>
        <v>473.534166449861</v>
      </c>
      <c r="S310" s="8">
        <f>'Model inputs'!S304*'Model inputs'!B330</f>
        <v>526.4311539531132</v>
      </c>
      <c r="T310" s="8">
        <f>'Model inputs'!T304*'Model inputs'!B330</f>
        <v>578.5346866438165</v>
      </c>
      <c r="U310" s="8">
        <f>'Model inputs'!U304*'Model inputs'!B330</f>
        <v>629.8566663441593</v>
      </c>
      <c r="V310" s="8">
        <f>'Model inputs'!V304*'Model inputs'!B330</f>
        <v>680.4088163489969</v>
      </c>
      <c r="W310" s="8">
        <f>'Model inputs'!W304*'Model inputs'!B330</f>
        <v>730.2026841037618</v>
      </c>
      <c r="X310" s="8">
        <f>'Model inputs'!X304*'Model inputs'!B330</f>
        <v>779.2496438422054</v>
      </c>
      <c r="Y310" s="8">
        <f>'Model inputs'!Y304*'Model inputs'!B330</f>
        <v>827.5608991845722</v>
      </c>
      <c r="Z310" s="8">
        <f>'Model inputs'!Z304*'Model inputs'!B330</f>
        <v>875.1474856968036</v>
      </c>
      <c r="AA310" s="8">
        <f>'Model inputs'!AA304*'Model inputs'!B330</f>
        <v>922.0202734113517</v>
      </c>
      <c r="AB310" s="8">
        <f>'Model inputs'!AB304*'Model inputs'!B330</f>
        <v>968.1899693101814</v>
      </c>
      <c r="AC310" s="8">
        <f>'Model inputs'!AC304*'Model inputs'!B330</f>
        <v>1013.6671197705286</v>
      </c>
      <c r="AD310" s="8">
        <f>'Model inputs'!AD304*'Model inputs'!B330</f>
        <v>1058.4621129739705</v>
      </c>
      <c r="AE310" s="8">
        <f>'Model inputs'!AE304*'Model inputs'!B330</f>
        <v>1102.585181279361</v>
      </c>
      <c r="AF310" s="8">
        <f>'Model inputs'!AF304*'Model inputs'!B330</f>
        <v>1146.0464035601706</v>
      </c>
      <c r="AG310" s="8">
        <f>'Model inputs'!AG304*'Model inputs'!B330</f>
        <v>1188.855707506768</v>
      </c>
      <c r="AH310" s="8">
        <f>'Model inputs'!AH304*'Model inputs'!B330</f>
        <v>1231.0228718941667</v>
      </c>
      <c r="AI310" s="8">
        <f>'Model inputs'!AI304*'Model inputs'!B330</f>
        <v>1272.557528815754</v>
      </c>
    </row>
    <row r="311" outlineLevel="1">
      <c r="A311" t="inlineStr" s="23">
        <is>
          <t xml:space="preserve">Extra executions &gt; Small shop</t>
        </is>
      </c>
      <c r="C311" s="8">
        <f>'Model inputs'!C248</f>
        <v>0</v>
      </c>
      <c r="D311" s="8">
        <f>'Model inputs'!D248</f>
        <v>0</v>
      </c>
      <c r="E311" s="8">
        <f>'Model inputs'!E248</f>
        <v>0</v>
      </c>
      <c r="F311" s="8">
        <f>'Model inputs'!F248</f>
        <v>0</v>
      </c>
      <c r="G311" s="8">
        <f>'Model inputs'!G248</f>
        <v>0</v>
      </c>
      <c r="H311" s="8">
        <f>'Model inputs'!H248</f>
        <v>0</v>
      </c>
      <c r="I311" s="8">
        <f>'Model inputs'!I248</f>
        <v>0</v>
      </c>
      <c r="J311" s="8">
        <f>'Model inputs'!J248</f>
        <v>0</v>
      </c>
      <c r="K311" s="8">
        <f>'SwapDesk — Operations · Merchan'!B28</f>
        <v>0</v>
      </c>
      <c r="L311" s="8">
        <f>'Model inputs'!L305*'Model inputs'!B331</f>
        <v>94.80000000000001</v>
      </c>
      <c r="M311" s="8">
        <f>'Model inputs'!M305*'Model inputs'!B331</f>
        <v>128.90400000000002</v>
      </c>
      <c r="N311" s="8">
        <f>'Model inputs'!N305*'Model inputs'!B331</f>
        <v>162.32592</v>
      </c>
      <c r="O311" s="8">
        <f>'Model inputs'!O305*'Model inputs'!B331</f>
        <v>195.07940160000004</v>
      </c>
      <c r="P311" s="8">
        <f>'Model inputs'!P305*'Model inputs'!B331</f>
        <v>227.17781356800006</v>
      </c>
      <c r="Q311" s="8">
        <f>'Model inputs'!Q305*'Model inputs'!B331</f>
        <v>258.63425729664004</v>
      </c>
      <c r="R311" s="8">
        <f>'Model inputs'!R305*'Model inputs'!B331</f>
        <v>289.46157215070724</v>
      </c>
      <c r="S311" s="8">
        <f>'Model inputs'!S305*'Model inputs'!B331</f>
        <v>319.67234070769314</v>
      </c>
      <c r="T311" s="8">
        <f>'Model inputs'!T305*'Model inputs'!B331</f>
        <v>349.27889389353925</v>
      </c>
      <c r="U311" s="8">
        <f>'Model inputs'!U305*'Model inputs'!B331</f>
        <v>378.2933160156685</v>
      </c>
      <c r="V311" s="8">
        <f>'Model inputs'!V305*'Model inputs'!B331</f>
        <v>406.7274496953551</v>
      </c>
      <c r="W311" s="8">
        <f>'Model inputs'!W305*'Model inputs'!B331</f>
        <v>434.5929007014481</v>
      </c>
      <c r="X311" s="8">
        <f>'Model inputs'!X305*'Model inputs'!B331</f>
        <v>461.9010426874191</v>
      </c>
      <c r="Y311" s="8">
        <f>'Model inputs'!Y305*'Model inputs'!B331</f>
        <v>488.6630218336707</v>
      </c>
      <c r="Z311" s="8">
        <f>'Model inputs'!Z305*'Model inputs'!B331</f>
        <v>514.8897613969973</v>
      </c>
      <c r="AA311" s="8">
        <f>'Model inputs'!AA305*'Model inputs'!B331</f>
        <v>540.5919661690573</v>
      </c>
      <c r="AB311" s="8">
        <f>'Model inputs'!AB305*'Model inputs'!B331</f>
        <v>565.7801268456761</v>
      </c>
      <c r="AC311" s="8">
        <f>'Model inputs'!AC305*'Model inputs'!B331</f>
        <v>590.4645243087626</v>
      </c>
      <c r="AD311" s="8">
        <f>'Model inputs'!AD305*'Model inputs'!B331</f>
        <v>614.6552338225873</v>
      </c>
      <c r="AE311" s="8">
        <f>'Model inputs'!AE305*'Model inputs'!B331</f>
        <v>638.3621291461355</v>
      </c>
      <c r="AF311" s="8">
        <f>'Model inputs'!AF305*'Model inputs'!B331</f>
        <v>661.5948865632129</v>
      </c>
      <c r="AG311" s="8">
        <f>'Model inputs'!AG305*'Model inputs'!B331</f>
        <v>684.3629888319487</v>
      </c>
      <c r="AH311" s="8">
        <f>'Model inputs'!AH305*'Model inputs'!B331</f>
        <v>706.6757290553097</v>
      </c>
      <c r="AI311" s="8">
        <f>'Model inputs'!AI305*'Model inputs'!B331</f>
        <v>728.5422144742035</v>
      </c>
    </row>
    <row r="312">
      <c r="A312" t="inlineStr" s="22">
        <is>
          <t xml:space="preserve">Founder annual pay · Planned annual compensation · Founder payroll · Bad Reliability · Bad Reliability · Bad Reliability</t>
        </is>
      </c>
      <c r="B312" s="9">
        <f>'SwapDesk — Assumptions · Commer'!B16</f>
        <v>24000</v>
      </c>
    </row>
    <row r="313">
      <c r="A313" t="inlineStr" s="22">
        <is>
          <t xml:space="preserve">Founder annual pay · Planned annual compensation · Founder payroll · Growth · Growth · Growth</t>
        </is>
      </c>
      <c r="B313" s="9">
        <f>'SwapDesk — Assumptions · Commer'!B16</f>
        <v>24000</v>
      </c>
    </row>
    <row r="314">
      <c r="A314" t="inlineStr" s="22">
        <is>
          <t xml:space="preserve">Monthly store churn</t>
        </is>
      </c>
      <c r="B314" s="11">
        <v>0</v>
      </c>
    </row>
    <row r="315" outlineLevel="1">
      <c r="A315" t="inlineStr" s="23">
        <is>
          <t xml:space="preserve">Monthly store churn &gt; Growing shop</t>
        </is>
      </c>
      <c r="B315" s="19">
        <f>0.05</f>
        <v>0.05</v>
      </c>
    </row>
    <row r="316" outlineLevel="1">
      <c r="A316" t="inlineStr" s="23">
        <is>
          <t xml:space="preserve">Monthly store churn &gt; Small shop</t>
        </is>
      </c>
      <c r="B316" s="19">
        <f>0.06</f>
        <v>0.06</v>
      </c>
    </row>
    <row r="317">
      <c r="A317" t="inlineStr" s="22">
        <is>
          <t xml:space="preserve">Monthly store churn</t>
        </is>
      </c>
      <c r="B317" s="11">
        <v>0</v>
      </c>
    </row>
    <row r="318" outlineLevel="1">
      <c r="A318" t="inlineStr" s="23">
        <is>
          <t xml:space="preserve">Monthly store churn &gt; Growing shop</t>
        </is>
      </c>
      <c r="B318" s="19">
        <f>0.015</f>
        <v>0.015</v>
      </c>
    </row>
    <row r="319" outlineLevel="1">
      <c r="A319" t="inlineStr" s="23">
        <is>
          <t xml:space="preserve">Monthly store churn &gt; Small shop</t>
        </is>
      </c>
      <c r="B319" s="19">
        <f>0.02</f>
        <v>0.02</v>
      </c>
    </row>
    <row r="320">
      <c r="A320" t="inlineStr" s="22">
        <is>
          <t xml:space="preserve">New stores per month</t>
        </is>
      </c>
      <c r="B320" s="10">
        <v>0</v>
      </c>
    </row>
    <row r="321" outlineLevel="1">
      <c r="A321" t="inlineStr" s="23">
        <is>
          <t xml:space="preserve">New stores per month &gt; Growing shop</t>
        </is>
      </c>
      <c r="B321" s="8">
        <f>'SwapDesk — Assumptions · Mercha'!B5</f>
        <v>0.5</v>
      </c>
    </row>
    <row r="322" outlineLevel="1">
      <c r="A322" t="inlineStr" s="23">
        <is>
          <t xml:space="preserve">New stores per month &gt; Small shop</t>
        </is>
      </c>
      <c r="B322" s="8">
        <f>'SwapDesk — Assumptions · Mercha'!B6</f>
        <v>1</v>
      </c>
    </row>
    <row r="323">
      <c r="A323" t="inlineStr" s="22">
        <is>
          <t xml:space="preserve">New stores per month</t>
        </is>
      </c>
      <c r="B323" s="10">
        <v>0</v>
      </c>
    </row>
    <row r="324" outlineLevel="1">
      <c r="A324" t="inlineStr" s="23">
        <is>
          <t xml:space="preserve">New stores per month &gt; Growing shop</t>
        </is>
      </c>
      <c r="B324" s="8">
        <f>1.5</f>
        <v>1.5</v>
      </c>
    </row>
    <row r="325" outlineLevel="1">
      <c r="A325" t="inlineStr" s="23">
        <is>
          <t xml:space="preserve">New stores per month &gt; Small shop</t>
        </is>
      </c>
      <c r="B325" s="8">
        <f>3</f>
        <v>3</v>
      </c>
    </row>
    <row r="326">
      <c r="A326" t="inlineStr" s="22">
        <is>
          <t xml:space="preserve">Extra execution factor</t>
        </is>
      </c>
      <c r="B326" s="11">
        <v>0</v>
      </c>
    </row>
    <row r="327" outlineLevel="1">
      <c r="A327" t="inlineStr" s="23">
        <is>
          <t xml:space="preserve">Extra execution factor &gt; Growing shop</t>
        </is>
      </c>
      <c r="B327" s="19">
        <f>0.6</f>
        <v>0.6</v>
      </c>
    </row>
    <row r="328" outlineLevel="1">
      <c r="A328" t="inlineStr" s="23">
        <is>
          <t xml:space="preserve">Extra execution factor &gt; Small shop</t>
        </is>
      </c>
      <c r="B328" s="19">
        <f>0.6</f>
        <v>0.6</v>
      </c>
    </row>
    <row r="329">
      <c r="A329" t="inlineStr" s="22">
        <is>
          <t xml:space="preserve">Extra execution factor</t>
        </is>
      </c>
      <c r="B329" s="11">
        <v>0</v>
      </c>
    </row>
    <row r="330" outlineLevel="1">
      <c r="A330" t="inlineStr" s="23">
        <is>
          <t xml:space="preserve">Extra execution factor &gt; Growing shop</t>
        </is>
      </c>
      <c r="B330" s="19">
        <f>0.1</f>
        <v>0.1</v>
      </c>
    </row>
    <row r="331" outlineLevel="1">
      <c r="A331" t="inlineStr" s="23">
        <is>
          <t xml:space="preserve">Extra execution factor &gt; Small shop</t>
        </is>
      </c>
      <c r="B331" s="19">
        <f>0.1</f>
        <v>0.1</v>
      </c>
    </row>
    <row r="333">
      <c r="A333" t="inlineStr" s="21">
        <is>
          <t xml:space="preserve">Dimensions</t>
        </is>
      </c>
    </row>
    <row r="334">
      <c r="A334" t="inlineStr" s="22">
        <is>
          <t xml:space="preserve">Merchant segment</t>
        </is>
      </c>
      <c r="B334" t="inlineStr" s="25">
        <is>
          <t xml:space="preserve">Growing shop</t>
        </is>
      </c>
      <c r="C334" t="inlineStr" s="25">
        <is>
          <t xml:space="preserve">Small shop</t>
        </is>
      </c>
    </row>
    <row r="335">
      <c r="A335" t="inlineStr" s="22">
        <is>
          <t xml:space="preserve">Planning worker</t>
        </is>
      </c>
      <c r="B335" t="inlineStr" s="25">
        <is>
          <t xml:space="preserve">Placeholder founder 1</t>
        </is>
      </c>
    </row>
  </sheetData>
  <mergeCells count="2">
    <mergeCell ref="A1:AJ1"/>
    <mergeCell ref="A2:AJ2"/>
  </mergeCells>
</worksheet>
</file>